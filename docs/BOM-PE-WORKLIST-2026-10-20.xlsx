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ใบงาน PE" sheetId="1" state="visible" r:id="rId3"/>
    <sheet name="สรุป" sheetId="2" state="visible" r:id="rId4"/>
    <sheet name="ไม่ต้องทำอะไร" sheetId="3" state="visible" r:id="rId5"/>
  </sheets>
  <definedNames>
    <definedName function="false" hidden="true" localSheetId="0" name="_xlnm._FilterDatabase" vbProcedure="false">'ใบงาน PE'!$A$6:$M$23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<sst xmlns="http://schemas.openxmlformats.org/spreadsheetml/2006/main" count="198" uniqueCount="170">
  <si>
    <r>
      <rPr>
        <b val="true"/>
        <sz val="14"/>
        <color rgb="FF000000"/>
        <rFont val="FreeSans"/>
        <family val="2"/>
      </rPr>
      <t xml:space="preserve">ใบงาน </t>
    </r>
    <r>
      <rPr>
        <b val="true"/>
        <sz val="14"/>
        <color rgb="FF000000"/>
        <rFont val="Tahoma"/>
        <family val="0"/>
        <charset val="1"/>
      </rPr>
      <t xml:space="preserve">PE — BOM </t>
    </r>
    <r>
      <rPr>
        <b val="true"/>
        <sz val="14"/>
        <color rgb="FF000000"/>
        <rFont val="FreeSans"/>
        <family val="2"/>
      </rPr>
      <t xml:space="preserve">ที่นิยามไว้หลายใบ ต้องตัดสิน</t>
    </r>
  </si>
  <si>
    <r>
      <rPr>
        <sz val="9"/>
        <color rgb="FF555555"/>
        <rFont val="FreeSans"/>
        <family val="2"/>
      </rPr>
      <t xml:space="preserve">วัดจากฐานจริง </t>
    </r>
    <r>
      <rPr>
        <sz val="9"/>
        <color rgb="FF555555"/>
        <rFont val="Tahoma"/>
        <family val="0"/>
        <charset val="1"/>
      </rPr>
      <t xml:space="preserve">Product DB (DR) </t>
    </r>
    <r>
      <rPr>
        <sz val="9"/>
        <color rgb="FF555555"/>
        <rFont val="FreeSans"/>
        <family val="2"/>
      </rPr>
      <t xml:space="preserve">วันที่ </t>
    </r>
    <r>
      <rPr>
        <sz val="9"/>
        <color rgb="FF555555"/>
        <rFont val="Tahoma"/>
        <family val="0"/>
        <charset val="1"/>
      </rPr>
      <t xml:space="preserve">2026-10-20 · bom_items </t>
    </r>
    <r>
      <rPr>
        <sz val="9"/>
        <color rgb="FF555555"/>
        <rFont val="FreeSans"/>
        <family val="2"/>
      </rPr>
      <t xml:space="preserve">ที่ใช้งานอยู่ </t>
    </r>
    <r>
      <rPr>
        <sz val="9"/>
        <color rgb="FF555555"/>
        <rFont val="Tahoma"/>
        <family val="0"/>
        <charset val="1"/>
      </rPr>
      <t xml:space="preserve">653 </t>
    </r>
    <r>
      <rPr>
        <sz val="9"/>
        <color rgb="FF555555"/>
        <rFont val="FreeSans"/>
        <family val="2"/>
      </rPr>
      <t xml:space="preserve">แถว </t>
    </r>
    <r>
      <rPr>
        <sz val="9"/>
        <color rgb="FF555555"/>
        <rFont val="Tahoma"/>
        <family val="0"/>
        <charset val="1"/>
      </rPr>
      <t xml:space="preserve">· </t>
    </r>
    <r>
      <rPr>
        <sz val="9"/>
        <color rgb="FF555555"/>
        <rFont val="FreeSans"/>
        <family val="2"/>
      </rPr>
      <t xml:space="preserve">พาร์ทที่ถูกนิยามลูกไว้ตั้งแต่ </t>
    </r>
    <r>
      <rPr>
        <sz val="9"/>
        <color rgb="FF555555"/>
        <rFont val="Tahoma"/>
        <family val="0"/>
        <charset val="1"/>
      </rPr>
      <t xml:space="preserve">2 </t>
    </r>
    <r>
      <rPr>
        <sz val="9"/>
        <color rgb="FF555555"/>
        <rFont val="FreeSans"/>
        <family val="2"/>
      </rPr>
      <t xml:space="preserve">ใบ </t>
    </r>
    <r>
      <rPr>
        <sz val="9"/>
        <color rgb="FF555555"/>
        <rFont val="Tahoma"/>
        <family val="0"/>
        <charset val="1"/>
      </rPr>
      <t xml:space="preserve">= 40 </t>
    </r>
    <r>
      <rPr>
        <sz val="9"/>
        <color rgb="FF555555"/>
        <rFont val="FreeSans"/>
        <family val="2"/>
      </rPr>
      <t xml:space="preserve">ตัว </t>
    </r>
    <r>
      <rPr>
        <sz val="9"/>
        <color rgb="FF555555"/>
        <rFont val="Tahoma"/>
        <family val="0"/>
        <charset val="1"/>
      </rPr>
      <t xml:space="preserve">(</t>
    </r>
    <r>
      <rPr>
        <sz val="9"/>
        <color rgb="FF555555"/>
        <rFont val="FreeSans"/>
        <family val="2"/>
      </rPr>
      <t xml:space="preserve">ไม่มีใบ </t>
    </r>
    <r>
      <rPr>
        <sz val="9"/>
        <color rgb="FF555555"/>
        <rFont val="Tahoma"/>
        <family val="0"/>
        <charset val="1"/>
      </rPr>
      <t xml:space="preserve">BOM </t>
    </r>
    <r>
      <rPr>
        <sz val="9"/>
        <color rgb="FF555555"/>
        <rFont val="FreeSans"/>
        <family val="2"/>
      </rPr>
      <t xml:space="preserve">ของตัวเอง </t>
    </r>
    <r>
      <rPr>
        <sz val="9"/>
        <color rgb="FF555555"/>
        <rFont val="Tahoma"/>
        <family val="0"/>
        <charset val="1"/>
      </rPr>
      <t xml:space="preserve">17 · </t>
    </r>
    <r>
      <rPr>
        <sz val="9"/>
        <color rgb="FF555555"/>
        <rFont val="FreeSans"/>
        <family val="2"/>
      </rPr>
      <t xml:space="preserve">นิยามไว้ตั้งแต่ </t>
    </r>
    <r>
      <rPr>
        <sz val="9"/>
        <color rgb="FF555555"/>
        <rFont val="Tahoma"/>
        <family val="0"/>
        <charset val="1"/>
      </rPr>
      <t xml:space="preserve">3 </t>
    </r>
    <r>
      <rPr>
        <sz val="9"/>
        <color rgb="FF555555"/>
        <rFont val="FreeSans"/>
        <family val="2"/>
      </rPr>
      <t xml:space="preserve">ใบ </t>
    </r>
    <r>
      <rPr>
        <sz val="9"/>
        <color rgb="FF555555"/>
        <rFont val="Tahoma"/>
        <family val="0"/>
        <charset val="1"/>
      </rPr>
      <t xml:space="preserve">13)</t>
    </r>
  </si>
  <si>
    <r>
      <rPr>
        <sz val="9"/>
        <color rgb="FF555555"/>
        <rFont val="FreeSans"/>
        <family val="2"/>
      </rPr>
      <t xml:space="preserve">วิธีใช้</t>
    </r>
    <r>
      <rPr>
        <sz val="9"/>
        <color rgb="FF555555"/>
        <rFont val="Tahoma"/>
        <family val="0"/>
        <charset val="1"/>
      </rPr>
      <t xml:space="preserve">: </t>
    </r>
    <r>
      <rPr>
        <sz val="9"/>
        <color rgb="FF555555"/>
        <rFont val="FreeSans"/>
        <family val="2"/>
      </rPr>
      <t xml:space="preserve">กรอกเฉพาะช่องพื้นเหลือง </t>
    </r>
    <r>
      <rPr>
        <sz val="9"/>
        <color rgb="FF555555"/>
        <rFont val="Tahoma"/>
        <family val="0"/>
        <charset val="1"/>
      </rPr>
      <t xml:space="preserve">(</t>
    </r>
    <r>
      <rPr>
        <sz val="9"/>
        <color rgb="FF555555"/>
        <rFont val="FreeSans"/>
        <family val="2"/>
      </rPr>
      <t xml:space="preserve">ผลตัดสิน </t>
    </r>
    <r>
      <rPr>
        <sz val="9"/>
        <color rgb="FF555555"/>
        <rFont val="Tahoma"/>
        <family val="0"/>
        <charset val="1"/>
      </rPr>
      <t xml:space="preserve">/ </t>
    </r>
    <r>
      <rPr>
        <sz val="9"/>
        <color rgb="FF555555"/>
        <rFont val="FreeSans"/>
        <family val="2"/>
      </rPr>
      <t xml:space="preserve">แก้เป็นค่าอะไร </t>
    </r>
    <r>
      <rPr>
        <sz val="9"/>
        <color rgb="FF555555"/>
        <rFont val="Tahoma"/>
        <family val="0"/>
        <charset val="1"/>
      </rPr>
      <t xml:space="preserve">/ </t>
    </r>
    <r>
      <rPr>
        <sz val="9"/>
        <color rgb="FF555555"/>
        <rFont val="FreeSans"/>
        <family val="2"/>
      </rPr>
      <t xml:space="preserve">ผู้ตัดสิน </t>
    </r>
    <r>
      <rPr>
        <sz val="9"/>
        <color rgb="FF555555"/>
        <rFont val="Tahoma"/>
        <family val="0"/>
        <charset val="1"/>
      </rPr>
      <t xml:space="preserve">/ </t>
    </r>
    <r>
      <rPr>
        <sz val="9"/>
        <color rgb="FF555555"/>
        <rFont val="FreeSans"/>
        <family val="2"/>
      </rPr>
      <t xml:space="preserve">วันที่ </t>
    </r>
    <r>
      <rPr>
        <sz val="9"/>
        <color rgb="FF555555"/>
        <rFont val="Tahoma"/>
        <family val="0"/>
        <charset val="1"/>
      </rPr>
      <t xml:space="preserve">/ </t>
    </r>
    <r>
      <rPr>
        <sz val="9"/>
        <color rgb="FF555555"/>
        <rFont val="FreeSans"/>
        <family val="2"/>
      </rPr>
      <t xml:space="preserve">หมายเหตุ</t>
    </r>
    <r>
      <rPr>
        <sz val="9"/>
        <color rgb="FF555555"/>
        <rFont val="Tahoma"/>
        <family val="0"/>
        <charset val="1"/>
      </rPr>
      <t xml:space="preserve">) · </t>
    </r>
    <r>
      <rPr>
        <sz val="9"/>
        <color rgb="FF555555"/>
        <rFont val="FreeSans"/>
        <family val="2"/>
      </rPr>
      <t xml:space="preserve">ช่อง </t>
    </r>
    <r>
      <rPr>
        <sz val="9"/>
        <color rgb="FF555555"/>
        <rFont val="Tahoma"/>
        <family val="0"/>
        <charset val="1"/>
      </rPr>
      <t xml:space="preserve">"</t>
    </r>
    <r>
      <rPr>
        <sz val="9"/>
        <color rgb="FF555555"/>
        <rFont val="FreeSans"/>
        <family val="2"/>
      </rPr>
      <t xml:space="preserve">ผลตัดสิน</t>
    </r>
    <r>
      <rPr>
        <sz val="9"/>
        <color rgb="FF555555"/>
        <rFont val="Tahoma"/>
        <family val="0"/>
        <charset val="1"/>
      </rPr>
      <t xml:space="preserve">" </t>
    </r>
    <r>
      <rPr>
        <sz val="9"/>
        <color rgb="FF555555"/>
        <rFont val="FreeSans"/>
        <family val="2"/>
      </rPr>
      <t xml:space="preserve">เป็น </t>
    </r>
    <r>
      <rPr>
        <sz val="9"/>
        <color rgb="FF555555"/>
        <rFont val="Tahoma"/>
        <family val="0"/>
        <charset val="1"/>
      </rPr>
      <t xml:space="preserve">dropdown </t>
    </r>
    <r>
      <rPr>
        <sz val="9"/>
        <color rgb="FF555555"/>
        <rFont val="FreeSans"/>
        <family val="2"/>
      </rPr>
      <t xml:space="preserve">เลือกได้ </t>
    </r>
    <r>
      <rPr>
        <sz val="9"/>
        <color rgb="FF555555"/>
        <rFont val="Tahoma"/>
        <family val="0"/>
        <charset val="1"/>
      </rPr>
      <t xml:space="preserve">· </t>
    </r>
    <r>
      <rPr>
        <sz val="9"/>
        <color rgb="FF555555"/>
        <rFont val="FreeSans"/>
        <family val="2"/>
      </rPr>
      <t xml:space="preserve">แถวสีเทาคือตัวอย่าง ลบทิ้งได้</t>
    </r>
  </si>
  <si>
    <r>
      <rPr>
        <b val="true"/>
        <sz val="9"/>
        <color rgb="FFC62828"/>
        <rFont val="FreeSans"/>
        <family val="2"/>
      </rPr>
      <t xml:space="preserve">ไฟล์นี้เป็นภาพ ณ วันที่วัด — ของจริงอยู่ที่จอ </t>
    </r>
    <r>
      <rPr>
        <b val="true"/>
        <sz val="9"/>
        <color rgb="FFC62828"/>
        <rFont val="Tahoma"/>
        <family val="0"/>
        <charset val="1"/>
      </rPr>
      <t xml:space="preserve">/products </t>
    </r>
    <r>
      <rPr>
        <b val="true"/>
        <sz val="9"/>
        <color rgb="FFC62828"/>
        <rFont val="FreeSans"/>
        <family val="2"/>
      </rPr>
      <t xml:space="preserve">แท็บ </t>
    </r>
    <r>
      <rPr>
        <b val="true"/>
        <sz val="9"/>
        <color rgb="FFC62828"/>
        <rFont val="Tahoma"/>
        <family val="0"/>
        <charset val="1"/>
      </rPr>
      <t xml:space="preserve">BOM </t>
    </r>
    <r>
      <rPr>
        <b val="true"/>
        <sz val="9"/>
        <color rgb="FFC62828"/>
        <rFont val="FreeSans"/>
        <family val="2"/>
      </rPr>
      <t xml:space="preserve">ซ้ำ เสมอ </t>
    </r>
    <r>
      <rPr>
        <b val="true"/>
        <sz val="9"/>
        <color rgb="FFC62828"/>
        <rFont val="Tahoma"/>
        <family val="0"/>
        <charset val="1"/>
      </rPr>
      <t xml:space="preserve">(</t>
    </r>
    <r>
      <rPr>
        <b val="true"/>
        <sz val="9"/>
        <color rgb="FFC62828"/>
        <rFont val="FreeSans"/>
        <family val="2"/>
      </rPr>
      <t xml:space="preserve">แก้ </t>
    </r>
    <r>
      <rPr>
        <b val="true"/>
        <sz val="9"/>
        <color rgb="FFC62828"/>
        <rFont val="Tahoma"/>
        <family val="0"/>
        <charset val="1"/>
      </rPr>
      <t xml:space="preserve">BOM </t>
    </r>
    <r>
      <rPr>
        <b val="true"/>
        <sz val="9"/>
        <color rgb="FFC62828"/>
        <rFont val="FreeSans"/>
        <family val="2"/>
      </rPr>
      <t xml:space="preserve">แล้วรายการหายจากจอเอง</t>
    </r>
    <r>
      <rPr>
        <b val="true"/>
        <sz val="9"/>
        <color rgb="FFC62828"/>
        <rFont val="Tahoma"/>
        <family val="0"/>
        <charset val="1"/>
      </rPr>
      <t xml:space="preserve">) · </t>
    </r>
    <r>
      <rPr>
        <b val="true"/>
        <sz val="9"/>
        <color rgb="FFC62828"/>
        <rFont val="FreeSans"/>
        <family val="2"/>
      </rPr>
      <t xml:space="preserve">ระบบไม่แก้ข้อมูลให้เอง ไม่ยุบ ไม่ลบ ไม่แก้จำนวน — </t>
    </r>
    <r>
      <rPr>
        <b val="true"/>
        <sz val="9"/>
        <color rgb="FFC62828"/>
        <rFont val="Tahoma"/>
        <family val="0"/>
        <charset val="1"/>
      </rPr>
      <t xml:space="preserve">PE </t>
    </r>
    <r>
      <rPr>
        <b val="true"/>
        <sz val="9"/>
        <color rgb="FFC62828"/>
        <rFont val="FreeSans"/>
        <family val="2"/>
      </rPr>
      <t xml:space="preserve">เป็นคนแก้</t>
    </r>
  </si>
  <si>
    <t xml:space="preserve">ลำดับ</t>
  </si>
  <si>
    <t xml:space="preserve">กลุ่ม</t>
  </si>
  <si>
    <r>
      <rPr>
        <b val="true"/>
        <sz val="10"/>
        <color rgb="FFFFFFFF"/>
        <rFont val="FreeSans"/>
        <family val="2"/>
      </rPr>
      <t xml:space="preserve">พาร์ท </t>
    </r>
    <r>
      <rPr>
        <b val="true"/>
        <sz val="10"/>
        <color rgb="FFFFFFFF"/>
        <rFont val="Tahoma"/>
        <family val="0"/>
        <charset val="1"/>
      </rPr>
      <t xml:space="preserve">(MAT)</t>
    </r>
  </si>
  <si>
    <t xml:space="preserve">ชื่อพาร์ท</t>
  </si>
  <si>
    <t xml:space="preserve">ของที่มีปัญหา</t>
  </si>
  <si>
    <r>
      <rPr>
        <b val="true"/>
        <sz val="10"/>
        <color rgb="FFFFFFFF"/>
        <rFont val="FreeSans"/>
        <family val="2"/>
      </rPr>
      <t xml:space="preserve">ใบที่นิยามไว้ </t>
    </r>
    <r>
      <rPr>
        <b val="true"/>
        <sz val="10"/>
        <color rgb="FFFFFFFF"/>
        <rFont val="Tahoma"/>
        <family val="0"/>
        <charset val="1"/>
      </rPr>
      <t xml:space="preserve">+ </t>
    </r>
    <r>
      <rPr>
        <b val="true"/>
        <sz val="10"/>
        <color rgb="FFFFFFFF"/>
        <rFont val="FreeSans"/>
        <family val="2"/>
      </rPr>
      <t xml:space="preserve">ค่าที่เขียน</t>
    </r>
  </si>
  <si>
    <t xml:space="preserve">ปัญหาคืออะไร</t>
  </si>
  <si>
    <t xml:space="preserve">ทางแก้ที่เสนอ</t>
  </si>
  <si>
    <r>
      <rPr>
        <b val="true"/>
        <sz val="10"/>
        <color rgb="FFFFFFFF"/>
        <rFont val="FreeSans"/>
        <family val="2"/>
      </rPr>
      <t xml:space="preserve">ผลตัดสิน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เลือก</t>
    </r>
    <r>
      <rPr>
        <b val="true"/>
        <sz val="10"/>
        <color rgb="FFFFFFFF"/>
        <rFont val="Tahoma"/>
        <family val="0"/>
        <charset val="1"/>
      </rPr>
      <t xml:space="preserve">)</t>
    </r>
  </si>
  <si>
    <t xml:space="preserve">แก้เป็นค่าอะไร</t>
  </si>
  <si>
    <t xml:space="preserve">ผู้ตัดสิน</t>
  </si>
  <si>
    <t xml:space="preserve">วันที่</t>
  </si>
  <si>
    <t xml:space="preserve">หมายเหตุ</t>
  </si>
  <si>
    <r>
      <rPr>
        <sz val="9"/>
        <color rgb="FF888888"/>
        <rFont val="Tahoma"/>
        <family val="0"/>
        <charset val="1"/>
      </rPr>
      <t xml:space="preserve">(</t>
    </r>
    <r>
      <rPr>
        <sz val="9"/>
        <color rgb="FF888888"/>
        <rFont val="FreeSans"/>
        <family val="2"/>
      </rPr>
      <t xml:space="preserve">ตัวอย่าง</t>
    </r>
    <r>
      <rPr>
        <sz val="9"/>
        <color rgb="FF888888"/>
        <rFont val="Tahoma"/>
        <family val="0"/>
        <charset val="1"/>
      </rPr>
      <t xml:space="preserve">)</t>
    </r>
  </si>
  <si>
    <t xml:space="preserve">-</t>
  </si>
  <si>
    <t xml:space="preserve">20000000</t>
  </si>
  <si>
    <t xml:space="preserve">ชื่อพาร์ทตัวอย่าง</t>
  </si>
  <si>
    <r>
      <rPr>
        <sz val="9"/>
        <color rgb="FF888888"/>
        <rFont val="FreeSans"/>
        <family val="2"/>
      </rPr>
      <t xml:space="preserve">ใบ </t>
    </r>
    <r>
      <rPr>
        <sz val="9"/>
        <color rgb="FF888888"/>
        <rFont val="Tahoma"/>
        <family val="0"/>
        <charset val="1"/>
      </rPr>
      <t xml:space="preserve">A = x1 | </t>
    </r>
    <r>
      <rPr>
        <sz val="9"/>
        <color rgb="FF888888"/>
        <rFont val="FreeSans"/>
        <family val="2"/>
      </rPr>
      <t xml:space="preserve">ใบ </t>
    </r>
    <r>
      <rPr>
        <sz val="9"/>
        <color rgb="FF888888"/>
        <rFont val="Tahoma"/>
        <family val="0"/>
        <charset val="1"/>
      </rPr>
      <t xml:space="preserve">B = x2</t>
    </r>
  </si>
  <si>
    <t xml:space="preserve">อธิบายว่าต่างกันตรงไหน</t>
  </si>
  <si>
    <r>
      <rPr>
        <sz val="9"/>
        <color rgb="FF888888"/>
        <rFont val="FreeSans"/>
        <family val="2"/>
      </rPr>
      <t xml:space="preserve">แก้ </t>
    </r>
    <r>
      <rPr>
        <sz val="9"/>
        <color rgb="FF888888"/>
        <rFont val="Tahoma"/>
        <family val="0"/>
        <charset val="1"/>
      </rPr>
      <t xml:space="preserve">BOM </t>
    </r>
    <r>
      <rPr>
        <sz val="9"/>
        <color rgb="FF888888"/>
        <rFont val="FreeSans"/>
        <family val="2"/>
      </rPr>
      <t xml:space="preserve">แล้ว</t>
    </r>
  </si>
  <si>
    <t xml:space="preserve">4</t>
  </si>
  <si>
    <r>
      <rPr>
        <sz val="9"/>
        <color rgb="FF888888"/>
        <rFont val="FreeSans"/>
        <family val="2"/>
      </rPr>
      <t xml:space="preserve">ชื่อ </t>
    </r>
    <r>
      <rPr>
        <sz val="9"/>
        <color rgb="FF888888"/>
        <rFont val="Tahoma"/>
        <family val="0"/>
        <charset val="1"/>
      </rPr>
      <t xml:space="preserve">PE</t>
    </r>
  </si>
  <si>
    <t xml:space="preserve">2026-10-21</t>
  </si>
  <si>
    <r>
      <rPr>
        <sz val="9"/>
        <color rgb="FF888888"/>
        <rFont val="FreeSans"/>
        <family val="2"/>
      </rPr>
      <t xml:space="preserve">แก้ที่ใบ </t>
    </r>
    <r>
      <rPr>
        <sz val="9"/>
        <color rgb="FF888888"/>
        <rFont val="Tahoma"/>
        <family val="0"/>
        <charset val="1"/>
      </rPr>
      <t xml:space="preserve">B </t>
    </r>
    <r>
      <rPr>
        <sz val="9"/>
        <color rgb="FF888888"/>
        <rFont val="FreeSans"/>
        <family val="2"/>
      </rPr>
      <t xml:space="preserve">ให้ตรงกับใบ </t>
    </r>
    <r>
      <rPr>
        <sz val="9"/>
        <color rgb="FF888888"/>
        <rFont val="Tahoma"/>
        <family val="0"/>
        <charset val="1"/>
      </rPr>
      <t xml:space="preserve">A</t>
    </r>
  </si>
  <si>
    <t xml:space="preserve">A1</t>
  </si>
  <si>
    <t xml:space="preserve">A</t>
  </si>
  <si>
    <t xml:space="preserve">20059851</t>
  </si>
  <si>
    <r>
      <rPr>
        <sz val="10"/>
        <color rgb="FF000000"/>
        <rFont val="Tahoma"/>
        <family val="0"/>
        <charset val="1"/>
      </rPr>
      <t xml:space="preserve">REINF FRT BMPR-N1WB-17A835-RA </t>
    </r>
    <r>
      <rPr>
        <sz val="10"/>
        <color rgb="FF000000"/>
        <rFont val="FreeSans"/>
        <family val="2"/>
      </rPr>
      <t xml:space="preserve">ก่อนชุบ</t>
    </r>
  </si>
  <si>
    <t xml:space="preserve">30042571 W520771-S300 NUT WELD M6 HF 10</t>
  </si>
  <si>
    <r>
      <rPr>
        <sz val="10"/>
        <color rgb="FF000000"/>
        <rFont val="FreeSans"/>
        <family val="2"/>
      </rPr>
      <t xml:space="preserve">ใบของตัวเอง </t>
    </r>
    <r>
      <rPr>
        <sz val="10"/>
        <color rgb="FF000000"/>
        <rFont val="Tahoma"/>
        <family val="0"/>
        <charset val="1"/>
      </rPr>
      <t xml:space="preserve">= x4 | </t>
    </r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FG 10092454 = x4 | </t>
    </r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20059822 = x1</t>
    </r>
  </si>
  <si>
    <r>
      <rPr>
        <sz val="10"/>
        <color rgb="FF000000"/>
        <rFont val="Tahoma"/>
        <family val="0"/>
        <charset val="1"/>
      </rPr>
      <t xml:space="preserve">2 </t>
    </r>
    <r>
      <rPr>
        <sz val="10"/>
        <color rgb="FF000000"/>
        <rFont val="FreeSans"/>
        <family val="2"/>
      </rPr>
      <t xml:space="preserve">ใบว่า </t>
    </r>
    <r>
      <rPr>
        <sz val="10"/>
        <color rgb="FF000000"/>
        <rFont val="Tahoma"/>
        <family val="0"/>
        <charset val="1"/>
      </rPr>
      <t xml:space="preserve">4 </t>
    </r>
    <r>
      <rPr>
        <sz val="10"/>
        <color rgb="FF000000"/>
        <rFont val="FreeSans"/>
        <family val="2"/>
      </rPr>
      <t xml:space="preserve">ใบเดียวว่า </t>
    </r>
    <r>
      <rPr>
        <sz val="10"/>
        <color rgb="FF000000"/>
        <rFont val="Tahoma"/>
        <family val="0"/>
        <charset val="1"/>
      </rPr>
      <t xml:space="preserve">1 —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20059822 </t>
    </r>
    <r>
      <rPr>
        <sz val="10"/>
        <color rgb="FF000000"/>
        <rFont val="FreeSans"/>
        <family val="2"/>
      </rPr>
      <t xml:space="preserve">คือตัวเดียวกันหลังชุบ</t>
    </r>
  </si>
  <si>
    <t xml:space="preserve">แก้จำนวนในใบที่ผิด</t>
  </si>
  <si>
    <t xml:space="preserve">A2</t>
  </si>
  <si>
    <t xml:space="preserve">20059362</t>
  </si>
  <si>
    <t xml:space="preserve">L_BRKT RR BMPR CVR-N1WB-17E850R-PIA06</t>
  </si>
  <si>
    <r>
      <rPr>
        <sz val="10"/>
        <color rgb="FF000000"/>
        <rFont val="Tahoma"/>
        <family val="0"/>
        <charset val="1"/>
      </rPr>
      <t xml:space="preserve">50026143 WSS-M1A367-A36 1.5X93XC (</t>
    </r>
    <r>
      <rPr>
        <sz val="10"/>
        <color rgb="FF000000"/>
        <rFont val="FreeSans"/>
        <family val="2"/>
      </rPr>
      <t xml:space="preserve">คอยล์ </t>
    </r>
    <r>
      <rPr>
        <sz val="10"/>
        <color rgb="FF000000"/>
        <rFont val="Tahoma"/>
        <family val="0"/>
        <charset val="1"/>
      </rPr>
      <t xml:space="preserve">KG)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</si>
  <si>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10100286 = x0.027 | </t>
    </r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20059360 = x0.027 | </t>
    </r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20059357 = x1</t>
    </r>
  </si>
  <si>
    <r>
      <rPr>
        <sz val="10"/>
        <color rgb="FF000000"/>
        <rFont val="Tahoma"/>
        <family val="0"/>
        <charset val="1"/>
      </rPr>
      <t xml:space="preserve">"1" </t>
    </r>
    <r>
      <rPr>
        <sz val="10"/>
        <color rgb="FF000000"/>
        <rFont val="FreeSans"/>
        <family val="2"/>
      </rPr>
      <t xml:space="preserve">ไม่ใช่น้ำหนักคอยล์ — น่าจะกรอกจำนวนชิ้นลงช่องน้ำหนัก</t>
    </r>
  </si>
  <si>
    <r>
      <rPr>
        <sz val="10"/>
        <color rgb="FF000000"/>
        <rFont val="FreeSans"/>
        <family val="2"/>
      </rPr>
      <t xml:space="preserve">แก้ใบ </t>
    </r>
    <r>
      <rPr>
        <sz val="10"/>
        <color rgb="FF000000"/>
        <rFont val="Tahoma"/>
        <family val="0"/>
        <charset val="1"/>
      </rPr>
      <t xml:space="preserve">20059357 </t>
    </r>
    <r>
      <rPr>
        <sz val="10"/>
        <color rgb="FF000000"/>
        <rFont val="FreeSans"/>
        <family val="2"/>
      </rPr>
      <t xml:space="preserve">เป็น </t>
    </r>
    <r>
      <rPr>
        <sz val="10"/>
        <color rgb="FF000000"/>
        <rFont val="Tahoma"/>
        <family val="0"/>
        <charset val="1"/>
      </rPr>
      <t xml:space="preserve">0.027</t>
    </r>
  </si>
  <si>
    <t xml:space="preserve">A3</t>
  </si>
  <si>
    <t xml:space="preserve">20059370</t>
  </si>
  <si>
    <t xml:space="preserve">SUPPORT BRKT RR BMPR CVR MTNG RH/LH</t>
  </si>
  <si>
    <r>
      <rPr>
        <sz val="10"/>
        <color rgb="FF000000"/>
        <rFont val="Tahoma"/>
        <family val="0"/>
        <charset val="1"/>
      </rPr>
      <t xml:space="preserve">50027723 WSS-M1A367-A36 1.5X176XC (</t>
    </r>
    <r>
      <rPr>
        <sz val="10"/>
        <color rgb="FF000000"/>
        <rFont val="FreeSans"/>
        <family val="2"/>
      </rPr>
      <t xml:space="preserve">คอยล์ </t>
    </r>
    <r>
      <rPr>
        <sz val="10"/>
        <color rgb="FF000000"/>
        <rFont val="Tahoma"/>
        <family val="0"/>
        <charset val="1"/>
      </rPr>
      <t xml:space="preserve">KG)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</si>
  <si>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20059369 = x0.079 | </t>
    </r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20059372 = x0.079 | </t>
    </r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20059367 = x1 | </t>
    </r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20059371 = x1</t>
    </r>
  </si>
  <si>
    <r>
      <rPr>
        <sz val="10"/>
        <color rgb="FF000000"/>
        <rFont val="FreeSans"/>
        <family val="2"/>
      </rPr>
      <t xml:space="preserve">รูปแบบเดียวกับ </t>
    </r>
    <r>
      <rPr>
        <sz val="10"/>
        <color rgb="FF000000"/>
        <rFont val="Tahoma"/>
        <family val="0"/>
        <charset val="1"/>
      </rPr>
      <t xml:space="preserve">A2 </t>
    </r>
    <r>
      <rPr>
        <sz val="10"/>
        <color rgb="FF000000"/>
        <rFont val="FreeSans"/>
        <family val="2"/>
      </rPr>
      <t xml:space="preserve">แต่แบ่งเป็น </t>
    </r>
    <r>
      <rPr>
        <sz val="10"/>
        <color rgb="FF000000"/>
        <rFont val="Tahoma"/>
        <family val="0"/>
        <charset val="1"/>
      </rPr>
      <t xml:space="preserve">2 </t>
    </r>
    <r>
      <rPr>
        <sz val="10"/>
        <color rgb="FF000000"/>
        <rFont val="FreeSans"/>
        <family val="2"/>
      </rPr>
      <t xml:space="preserve">ค่าย ค่ายละ </t>
    </r>
    <r>
      <rPr>
        <sz val="10"/>
        <color rgb="FF000000"/>
        <rFont val="Tahoma"/>
        <family val="0"/>
        <charset val="1"/>
      </rPr>
      <t xml:space="preserve">2 </t>
    </r>
    <r>
      <rPr>
        <sz val="10"/>
        <color rgb="FF000000"/>
        <rFont val="FreeSans"/>
        <family val="2"/>
      </rPr>
      <t xml:space="preserve">ใบ</t>
    </r>
  </si>
  <si>
    <r>
      <rPr>
        <sz val="10"/>
        <color rgb="FF000000"/>
        <rFont val="FreeSans"/>
        <family val="2"/>
      </rPr>
      <t xml:space="preserve">แก้ </t>
    </r>
    <r>
      <rPr>
        <sz val="10"/>
        <color rgb="FF000000"/>
        <rFont val="Tahoma"/>
        <family val="0"/>
        <charset val="1"/>
      </rPr>
      <t xml:space="preserve">2 </t>
    </r>
    <r>
      <rPr>
        <sz val="10"/>
        <color rgb="FF000000"/>
        <rFont val="FreeSans"/>
        <family val="2"/>
      </rPr>
      <t xml:space="preserve">ใบที่เป็น </t>
    </r>
    <r>
      <rPr>
        <sz val="10"/>
        <color rgb="FF000000"/>
        <rFont val="Tahoma"/>
        <family val="0"/>
        <charset val="1"/>
      </rPr>
      <t xml:space="preserve">1 </t>
    </r>
    <r>
      <rPr>
        <sz val="10"/>
        <color rgb="FF000000"/>
        <rFont val="FreeSans"/>
        <family val="2"/>
      </rPr>
      <t xml:space="preserve">ให้เป็น </t>
    </r>
    <r>
      <rPr>
        <sz val="10"/>
        <color rgb="FF000000"/>
        <rFont val="Tahoma"/>
        <family val="0"/>
        <charset val="1"/>
      </rPr>
      <t xml:space="preserve">0.079</t>
    </r>
  </si>
  <si>
    <t xml:space="preserve">B1</t>
  </si>
  <si>
    <t xml:space="preserve">B</t>
  </si>
  <si>
    <t xml:space="preserve">20058483</t>
  </si>
  <si>
    <t xml:space="preserve">PLT FRT S/M INR REINF RH (MB3BE10564AA)</t>
  </si>
  <si>
    <r>
      <rPr>
        <sz val="10"/>
        <color rgb="FF000000"/>
        <rFont val="Tahoma"/>
        <family val="0"/>
        <charset val="1"/>
      </rPr>
      <t xml:space="preserve">50027080 WSS-M1A365-A13 1X127XC (</t>
    </r>
    <r>
      <rPr>
        <sz val="10"/>
        <color rgb="FF000000"/>
        <rFont val="FreeSans"/>
        <family val="2"/>
      </rPr>
      <t xml:space="preserve">คอยล์ </t>
    </r>
    <r>
      <rPr>
        <sz val="10"/>
        <color rgb="FF000000"/>
        <rFont val="Tahoma"/>
        <family val="0"/>
        <charset val="1"/>
      </rPr>
      <t xml:space="preserve">KG)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</si>
  <si>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10086024 / 10100814 / 10101158 = x0.038 | </t>
    </r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20058498 = x0.076</t>
    </r>
  </si>
  <si>
    <r>
      <rPr>
        <sz val="10"/>
        <color rgb="FF000000"/>
        <rFont val="FreeSans"/>
        <family val="2"/>
      </rPr>
      <t xml:space="preserve">ต่างกันพอดี </t>
    </r>
    <r>
      <rPr>
        <sz val="10"/>
        <color rgb="FF000000"/>
        <rFont val="Tahoma"/>
        <family val="0"/>
        <charset val="1"/>
      </rPr>
      <t xml:space="preserve">2 </t>
    </r>
    <r>
      <rPr>
        <sz val="10"/>
        <color rgb="FF000000"/>
        <rFont val="FreeSans"/>
        <family val="2"/>
      </rPr>
      <t xml:space="preserve">เท่า </t>
    </r>
    <r>
      <rPr>
        <sz val="10"/>
        <color rgb="FF000000"/>
        <rFont val="Tahoma"/>
        <family val="0"/>
        <charset val="1"/>
      </rPr>
      <t xml:space="preserve">= </t>
    </r>
    <r>
      <rPr>
        <sz val="10"/>
        <color rgb="FF000000"/>
        <rFont val="FreeSans"/>
        <family val="2"/>
      </rPr>
      <t xml:space="preserve">คนละหน่วย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ต่อ </t>
    </r>
    <r>
      <rPr>
        <sz val="10"/>
        <color rgb="FF000000"/>
        <rFont val="Tahoma"/>
        <family val="0"/>
        <charset val="1"/>
      </rPr>
      <t xml:space="preserve">shot vs </t>
    </r>
    <r>
      <rPr>
        <sz val="10"/>
        <color rgb="FF000000"/>
        <rFont val="FreeSans"/>
        <family val="2"/>
      </rPr>
      <t xml:space="preserve">ต่อชิ้น</t>
    </r>
    <r>
      <rPr>
        <sz val="10"/>
        <color rgb="FF000000"/>
        <rFont val="Tahoma"/>
        <family val="0"/>
        <charset val="1"/>
      </rPr>
      <t xml:space="preserve">) </t>
    </r>
    <r>
      <rPr>
        <sz val="10"/>
        <color rgb="FF000000"/>
        <rFont val="FreeSans"/>
        <family val="2"/>
      </rPr>
      <t xml:space="preserve">ไม่ใช่กรอกผิด</t>
    </r>
  </si>
  <si>
    <t xml:space="preserve">เคาะหน่วยทั้งโรงงาน ห้ามแก้ทีละใบ</t>
  </si>
  <si>
    <t xml:space="preserve">B2</t>
  </si>
  <si>
    <t xml:space="preserve">20058693</t>
  </si>
  <si>
    <t xml:space="preserve">BRKT RAD SUPT UPR RH (8226)(BL)</t>
  </si>
  <si>
    <r>
      <rPr>
        <sz val="10"/>
        <color rgb="FF000000"/>
        <rFont val="Tahoma"/>
        <family val="0"/>
        <charset val="1"/>
      </rPr>
      <t xml:space="preserve">50027090 WSS-M1A367-A38 2X423XC (</t>
    </r>
    <r>
      <rPr>
        <sz val="10"/>
        <color rgb="FF000000"/>
        <rFont val="FreeSans"/>
        <family val="2"/>
      </rPr>
      <t xml:space="preserve">คอยล์ </t>
    </r>
    <r>
      <rPr>
        <sz val="10"/>
        <color rgb="FF000000"/>
        <rFont val="Tahoma"/>
        <family val="0"/>
        <charset val="1"/>
      </rPr>
      <t xml:space="preserve">KG)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</si>
  <si>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20058488 / 20059953 = x0.498 | </t>
    </r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20058498 = x0.996</t>
    </r>
  </si>
  <si>
    <r>
      <rPr>
        <sz val="10"/>
        <color rgb="FF000000"/>
        <rFont val="FreeSans"/>
        <family val="2"/>
      </rPr>
      <t xml:space="preserve">ต่างกันพอดี </t>
    </r>
    <r>
      <rPr>
        <sz val="10"/>
        <color rgb="FF000000"/>
        <rFont val="Tahoma"/>
        <family val="0"/>
        <charset val="1"/>
      </rPr>
      <t xml:space="preserve">2 </t>
    </r>
    <r>
      <rPr>
        <sz val="10"/>
        <color rgb="FF000000"/>
        <rFont val="FreeSans"/>
        <family val="2"/>
      </rPr>
      <t xml:space="preserve">เท่า </t>
    </r>
    <r>
      <rPr>
        <sz val="10"/>
        <color rgb="FF000000"/>
        <rFont val="Tahoma"/>
        <family val="0"/>
        <charset val="1"/>
      </rPr>
      <t xml:space="preserve">= </t>
    </r>
    <r>
      <rPr>
        <sz val="10"/>
        <color rgb="FF000000"/>
        <rFont val="FreeSans"/>
        <family val="2"/>
      </rPr>
      <t xml:space="preserve">คนละหน่วย</t>
    </r>
  </si>
  <si>
    <t xml:space="preserve">B3</t>
  </si>
  <si>
    <t xml:space="preserve">20066663</t>
  </si>
  <si>
    <t xml:space="preserve">SUPT FRT WHL/HS CTR RR</t>
  </si>
  <si>
    <r>
      <rPr>
        <sz val="10"/>
        <color rgb="FF000000"/>
        <rFont val="Tahoma"/>
        <family val="0"/>
        <charset val="1"/>
      </rPr>
      <t xml:space="preserve">50027083 WSS-M1A367-A33 1.7X 350XC (</t>
    </r>
    <r>
      <rPr>
        <sz val="10"/>
        <color rgb="FF000000"/>
        <rFont val="FreeSans"/>
        <family val="2"/>
      </rPr>
      <t xml:space="preserve">คอยล์ </t>
    </r>
    <r>
      <rPr>
        <sz val="10"/>
        <color rgb="FF000000"/>
        <rFont val="Tahoma"/>
        <family val="0"/>
        <charset val="1"/>
      </rPr>
      <t xml:space="preserve">KG)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</si>
  <si>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FG 10100385 / 10106790 = x0.171 | </t>
    </r>
    <r>
      <rPr>
        <sz val="10"/>
        <color rgb="FF000000"/>
        <rFont val="FreeSans"/>
        <family val="2"/>
      </rPr>
      <t xml:space="preserve">ใบของตัวเอง </t>
    </r>
    <r>
      <rPr>
        <sz val="10"/>
        <color rgb="FF000000"/>
        <rFont val="Tahoma"/>
        <family val="0"/>
        <charset val="1"/>
      </rPr>
      <t xml:space="preserve">= x0.341</t>
    </r>
  </si>
  <si>
    <r>
      <rPr>
        <sz val="10"/>
        <color rgb="FF000000"/>
        <rFont val="FreeSans"/>
        <family val="2"/>
      </rPr>
      <t xml:space="preserve">ทะเบียนเขียน </t>
    </r>
    <r>
      <rPr>
        <sz val="10"/>
        <color rgb="FF000000"/>
        <rFont val="Tahoma"/>
        <family val="0"/>
        <charset val="1"/>
      </rPr>
      <t xml:space="preserve">"1:2" </t>
    </r>
    <r>
      <rPr>
        <sz val="10"/>
        <color rgb="FF000000"/>
        <rFont val="FreeSans"/>
        <family val="2"/>
      </rPr>
      <t xml:space="preserve">ไว้เองในช่อง </t>
    </r>
    <r>
      <rPr>
        <sz val="10"/>
        <color rgb="FF000000"/>
        <rFont val="Tahoma"/>
        <family val="0"/>
        <charset val="1"/>
      </rPr>
      <t xml:space="preserve">Part No. · 0.341/2=0.1705 </t>
    </r>
    <r>
      <rPr>
        <sz val="10"/>
        <color rgb="FF000000"/>
        <rFont val="FreeSans"/>
        <family val="2"/>
      </rPr>
      <t xml:space="preserve">ปัดเป็น </t>
    </r>
    <r>
      <rPr>
        <sz val="10"/>
        <color rgb="FF000000"/>
        <rFont val="Tahoma"/>
        <family val="0"/>
        <charset val="1"/>
      </rPr>
      <t xml:space="preserve">0.171</t>
    </r>
  </si>
  <si>
    <t xml:space="preserve">C1</t>
  </si>
  <si>
    <t xml:space="preserve">C</t>
  </si>
  <si>
    <t xml:space="preserve">20058626</t>
  </si>
  <si>
    <t xml:space="preserve">REINF FRT FNDR @ BAT MTNG LWR LH</t>
  </si>
  <si>
    <r>
      <rPr>
        <sz val="10"/>
        <color rgb="FF000000"/>
        <rFont val="FreeSans"/>
        <family val="2"/>
      </rPr>
      <t xml:space="preserve">คอยล์ </t>
    </r>
    <r>
      <rPr>
        <sz val="10"/>
        <color rgb="FF000000"/>
        <rFont val="Tahoma"/>
        <family val="0"/>
        <charset val="1"/>
      </rPr>
      <t xml:space="preserve">50027969 vs </t>
    </r>
    <r>
      <rPr>
        <sz val="10"/>
        <color rgb="FF000000"/>
        <rFont val="FreeSans"/>
        <family val="2"/>
      </rPr>
      <t xml:space="preserve">นัท </t>
    </r>
    <r>
      <rPr>
        <sz val="10"/>
        <color rgb="FF000000"/>
        <rFont val="Tahoma"/>
        <family val="0"/>
        <charset val="1"/>
      </rPr>
      <t xml:space="preserve">30044771 / 30045438 / 30046828</t>
    </r>
  </si>
  <si>
    <r>
      <rPr>
        <sz val="10"/>
        <color rgb="FF000000"/>
        <rFont val="FreeSans"/>
        <family val="2"/>
      </rPr>
      <t xml:space="preserve">ใบของตัวเอง </t>
    </r>
    <r>
      <rPr>
        <sz val="10"/>
        <color rgb="FF000000"/>
        <rFont val="Tahoma"/>
        <family val="0"/>
        <charset val="1"/>
      </rPr>
      <t xml:space="preserve">= </t>
    </r>
    <r>
      <rPr>
        <sz val="10"/>
        <color rgb="FF000000"/>
        <rFont val="FreeSans"/>
        <family val="2"/>
      </rPr>
      <t xml:space="preserve">คอยล์ </t>
    </r>
    <r>
      <rPr>
        <sz val="10"/>
        <color rgb="FF000000"/>
        <rFont val="Tahoma"/>
        <family val="0"/>
        <charset val="1"/>
      </rPr>
      <t xml:space="preserve">| E025 (M6) = </t>
    </r>
    <r>
      <rPr>
        <sz val="10"/>
        <color rgb="FF000000"/>
        <rFont val="FreeSans"/>
        <family val="2"/>
      </rPr>
      <t xml:space="preserve">นัท </t>
    </r>
    <r>
      <rPr>
        <sz val="10"/>
        <color rgb="FF000000"/>
        <rFont val="Tahoma"/>
        <family val="0"/>
        <charset val="1"/>
      </rPr>
      <t xml:space="preserve">M6 x1 | E025 (M8) = </t>
    </r>
    <r>
      <rPr>
        <sz val="10"/>
        <color rgb="FF000000"/>
        <rFont val="FreeSans"/>
        <family val="2"/>
      </rPr>
      <t xml:space="preserve">นัท </t>
    </r>
    <r>
      <rPr>
        <sz val="10"/>
        <color rgb="FF000000"/>
        <rFont val="Tahoma"/>
        <family val="0"/>
        <charset val="1"/>
      </rPr>
      <t xml:space="preserve">M8 x2 | E025 (M10) = </t>
    </r>
    <r>
      <rPr>
        <sz val="10"/>
        <color rgb="FF000000"/>
        <rFont val="FreeSans"/>
        <family val="2"/>
      </rPr>
      <t xml:space="preserve">นัท </t>
    </r>
    <r>
      <rPr>
        <sz val="10"/>
        <color rgb="FF000000"/>
        <rFont val="Tahoma"/>
        <family val="0"/>
        <charset val="1"/>
      </rPr>
      <t xml:space="preserve">M10 x1</t>
    </r>
  </si>
  <si>
    <r>
      <rPr>
        <sz val="10"/>
        <color rgb="FF000000"/>
        <rFont val="FreeSans"/>
        <family val="2"/>
      </rPr>
      <t xml:space="preserve">เปิดใบ </t>
    </r>
    <r>
      <rPr>
        <sz val="10"/>
        <color rgb="FF000000"/>
        <rFont val="Tahoma"/>
        <family val="0"/>
        <charset val="1"/>
      </rPr>
      <t xml:space="preserve">E025 (M6) </t>
    </r>
    <r>
      <rPr>
        <sz val="10"/>
        <color rgb="FF000000"/>
        <rFont val="FreeSans"/>
        <family val="2"/>
      </rPr>
      <t xml:space="preserve">จะได้แค่นัท ไม่มีคอยล์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ใบที่กางอยู่ชนะทั้งชุด</t>
    </r>
    <r>
      <rPr>
        <sz val="10"/>
        <color rgb="FF000000"/>
        <rFont val="Tahoma"/>
        <family val="0"/>
        <charset val="1"/>
      </rPr>
      <t xml:space="preserve">)</t>
    </r>
  </si>
  <si>
    <t xml:space="preserve">ใส่ของให้ครบทุกใบ หรือจัดโครงใบใหม่</t>
  </si>
  <si>
    <t xml:space="preserve">C2</t>
  </si>
  <si>
    <t xml:space="preserve">20066332</t>
  </si>
  <si>
    <t xml:space="preserve">BRKT ENG ELETR GRD (MB3BE102D04BC)</t>
  </si>
  <si>
    <r>
      <rPr>
        <sz val="10"/>
        <color rgb="FF000000"/>
        <rFont val="Tahoma"/>
        <family val="0"/>
        <charset val="1"/>
      </rPr>
      <t xml:space="preserve">BLANK 20065734 vs </t>
    </r>
    <r>
      <rPr>
        <sz val="10"/>
        <color rgb="FF000000"/>
        <rFont val="FreeSans"/>
        <family val="2"/>
      </rPr>
      <t xml:space="preserve">สตัด </t>
    </r>
    <r>
      <rPr>
        <sz val="10"/>
        <color rgb="FF000000"/>
        <rFont val="Tahoma"/>
        <family val="0"/>
        <charset val="1"/>
      </rPr>
      <t xml:space="preserve">30051209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</si>
  <si>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10100335 / 10100401 / 10106791 / 20066622 = 20065734 x1 | </t>
    </r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D04 (BOLT M6) = 30051209 x1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</si>
  <si>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D04 </t>
    </r>
    <r>
      <rPr>
        <sz val="10"/>
        <color rgb="FF000000"/>
        <rFont val="FreeSans"/>
        <family val="2"/>
      </rPr>
      <t xml:space="preserve">ไม่มี </t>
    </r>
    <r>
      <rPr>
        <sz val="10"/>
        <color rgb="FF000000"/>
        <rFont val="Tahoma"/>
        <family val="0"/>
        <charset val="1"/>
      </rPr>
      <t xml:space="preserve">BLANK ⇒ </t>
    </r>
    <r>
      <rPr>
        <sz val="10"/>
        <color rgb="FF000000"/>
        <rFont val="FreeSans"/>
        <family val="2"/>
      </rPr>
      <t xml:space="preserve">เปิดใบนั้นได้แต่สตัด</t>
    </r>
  </si>
  <si>
    <t xml:space="preserve">D1</t>
  </si>
  <si>
    <t xml:space="preserve">D</t>
  </si>
  <si>
    <t xml:space="preserve">20067545</t>
  </si>
  <si>
    <t xml:space="preserve">REINF FLR TNL LWR (MY24)</t>
  </si>
  <si>
    <r>
      <rPr>
        <sz val="10"/>
        <color rgb="FF000000"/>
        <rFont val="Tahoma"/>
        <family val="0"/>
        <charset val="1"/>
      </rPr>
      <t xml:space="preserve">20067543 / 20067544 / 20070738 / 30046428 / 30046429 (5 </t>
    </r>
    <r>
      <rPr>
        <sz val="10"/>
        <color rgb="FF000000"/>
        <rFont val="FreeSans"/>
        <family val="2"/>
      </rPr>
      <t xml:space="preserve">ตัว</t>
    </r>
    <r>
      <rPr>
        <sz val="10"/>
        <color rgb="FF000000"/>
        <rFont val="Tahoma"/>
        <family val="0"/>
        <charset val="1"/>
      </rPr>
      <t xml:space="preserve">)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</si>
  <si>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10102017 </t>
    </r>
    <r>
      <rPr>
        <sz val="10"/>
        <color rgb="FF000000"/>
        <rFont val="FreeSans"/>
        <family val="2"/>
      </rPr>
      <t xml:space="preserve">เขียนไว้แค่ </t>
    </r>
    <r>
      <rPr>
        <sz val="10"/>
        <color rgb="FF000000"/>
        <rFont val="Tahoma"/>
        <family val="0"/>
        <charset val="1"/>
      </rPr>
      <t xml:space="preserve">50029126 | </t>
    </r>
    <r>
      <rPr>
        <sz val="10"/>
        <color rgb="FF000000"/>
        <rFont val="FreeSans"/>
        <family val="2"/>
      </rPr>
      <t xml:space="preserve">ใบของพาร์ทเองมี </t>
    </r>
    <r>
      <rPr>
        <sz val="10"/>
        <color rgb="FF000000"/>
        <rFont val="Tahoma"/>
        <family val="0"/>
        <charset val="1"/>
      </rPr>
      <t xml:space="preserve">6 </t>
    </r>
    <r>
      <rPr>
        <sz val="10"/>
        <color rgb="FF000000"/>
        <rFont val="FreeSans"/>
        <family val="2"/>
      </rPr>
      <t xml:space="preserve">ตัว</t>
    </r>
  </si>
  <si>
    <r>
      <rPr>
        <sz val="10"/>
        <color rgb="FF000000"/>
        <rFont val="FreeSans"/>
        <family val="2"/>
      </rPr>
      <t xml:space="preserve">ของ </t>
    </r>
    <r>
      <rPr>
        <sz val="10"/>
        <color rgb="FF000000"/>
        <rFont val="Tahoma"/>
        <family val="0"/>
        <charset val="1"/>
      </rPr>
      <t xml:space="preserve">5 </t>
    </r>
    <r>
      <rPr>
        <sz val="10"/>
        <color rgb="FF000000"/>
        <rFont val="FreeSans"/>
        <family val="2"/>
      </rPr>
      <t xml:space="preserve">ตัวไม่ถูกระเบิดเลย — ความต้องการเป็น </t>
    </r>
    <r>
      <rPr>
        <sz val="10"/>
        <color rgb="FF000000"/>
        <rFont val="Tahoma"/>
        <family val="0"/>
        <charset val="1"/>
      </rPr>
      <t xml:space="preserve">0 </t>
    </r>
    <r>
      <rPr>
        <sz val="10"/>
        <color rgb="FF000000"/>
        <rFont val="FreeSans"/>
        <family val="2"/>
      </rPr>
      <t xml:space="preserve">ทั้งที่ใช้จริง</t>
    </r>
  </si>
  <si>
    <t xml:space="preserve">เติมของที่ขาดในใบแม่</t>
  </si>
  <si>
    <t xml:space="preserve">D2</t>
  </si>
  <si>
    <t xml:space="preserve">20066630</t>
  </si>
  <si>
    <r>
      <rPr>
        <sz val="10"/>
        <color rgb="FF000000"/>
        <rFont val="Tahoma"/>
        <family val="0"/>
        <charset val="1"/>
      </rPr>
      <t xml:space="preserve">REINF ASY RAD LWR(MB3B-8C306-BA) </t>
    </r>
    <r>
      <rPr>
        <sz val="10"/>
        <color rgb="FF000000"/>
        <rFont val="FreeSans"/>
        <family val="2"/>
      </rPr>
      <t xml:space="preserve">ก่อนแพ็ก</t>
    </r>
  </si>
  <si>
    <r>
      <rPr>
        <sz val="10"/>
        <color rgb="FF000000"/>
        <rFont val="FreeSans"/>
        <family val="2"/>
      </rPr>
      <t xml:space="preserve">ของที่ขาด </t>
    </r>
    <r>
      <rPr>
        <sz val="10"/>
        <color rgb="FF000000"/>
        <rFont val="Tahoma"/>
        <family val="0"/>
        <charset val="1"/>
      </rPr>
      <t xml:space="preserve">9 </t>
    </r>
    <r>
      <rPr>
        <sz val="10"/>
        <color rgb="FF000000"/>
        <rFont val="FreeSans"/>
        <family val="2"/>
      </rPr>
      <t xml:space="preserve">ตัว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</si>
  <si>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20070036 </t>
    </r>
    <r>
      <rPr>
        <sz val="10"/>
        <color rgb="FF000000"/>
        <rFont val="FreeSans"/>
        <family val="2"/>
      </rPr>
      <t xml:space="preserve">เขียนไว้ </t>
    </r>
    <r>
      <rPr>
        <sz val="10"/>
        <color rgb="FF000000"/>
        <rFont val="Tahoma"/>
        <family val="0"/>
        <charset val="1"/>
      </rPr>
      <t xml:space="preserve">3 </t>
    </r>
    <r>
      <rPr>
        <sz val="10"/>
        <color rgb="FF000000"/>
        <rFont val="FreeSans"/>
        <family val="2"/>
      </rPr>
      <t xml:space="preserve">ตัว </t>
    </r>
    <r>
      <rPr>
        <sz val="10"/>
        <color rgb="FF000000"/>
        <rFont val="Tahoma"/>
        <family val="0"/>
        <charset val="1"/>
      </rPr>
      <t xml:space="preserve">| </t>
    </r>
    <r>
      <rPr>
        <sz val="10"/>
        <color rgb="FF000000"/>
        <rFont val="FreeSans"/>
        <family val="2"/>
      </rPr>
      <t xml:space="preserve">ใบของพาร์ทเองมี </t>
    </r>
    <r>
      <rPr>
        <sz val="10"/>
        <color rgb="FF000000"/>
        <rFont val="Tahoma"/>
        <family val="0"/>
        <charset val="1"/>
      </rPr>
      <t xml:space="preserve">12 </t>
    </r>
    <r>
      <rPr>
        <sz val="10"/>
        <color rgb="FF000000"/>
        <rFont val="FreeSans"/>
        <family val="2"/>
      </rPr>
      <t xml:space="preserve">ตัว</t>
    </r>
  </si>
  <si>
    <r>
      <rPr>
        <sz val="10"/>
        <color rgb="FF000000"/>
        <rFont val="FreeSans"/>
        <family val="2"/>
      </rPr>
      <t xml:space="preserve">ของ </t>
    </r>
    <r>
      <rPr>
        <sz val="10"/>
        <color rgb="FF000000"/>
        <rFont val="Tahoma"/>
        <family val="0"/>
        <charset val="1"/>
      </rPr>
      <t xml:space="preserve">9 </t>
    </r>
    <r>
      <rPr>
        <sz val="10"/>
        <color rgb="FF000000"/>
        <rFont val="FreeSans"/>
        <family val="2"/>
      </rPr>
      <t xml:space="preserve">ตัวไม่ถูกระเบิดเลย</t>
    </r>
  </si>
  <si>
    <t xml:space="preserve">D3</t>
  </si>
  <si>
    <t xml:space="preserve">20070036</t>
  </si>
  <si>
    <r>
      <rPr>
        <sz val="10"/>
        <color rgb="FF000000"/>
        <rFont val="Tahoma"/>
        <family val="0"/>
        <charset val="1"/>
      </rPr>
      <t xml:space="preserve">REINF ASY RAD LWR(RB3B-8C306-BC) </t>
    </r>
    <r>
      <rPr>
        <sz val="10"/>
        <color rgb="FF000000"/>
        <rFont val="FreeSans"/>
        <family val="2"/>
      </rPr>
      <t xml:space="preserve">ก่อนแพ็ค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</si>
  <si>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10105772 </t>
    </r>
    <r>
      <rPr>
        <sz val="10"/>
        <color rgb="FF000000"/>
        <rFont val="FreeSans"/>
        <family val="2"/>
      </rPr>
      <t xml:space="preserve">เขียน </t>
    </r>
    <r>
      <rPr>
        <sz val="10"/>
        <color rgb="FF000000"/>
        <rFont val="Tahoma"/>
        <family val="0"/>
        <charset val="1"/>
      </rPr>
      <t xml:space="preserve">12 </t>
    </r>
    <r>
      <rPr>
        <sz val="10"/>
        <color rgb="FF000000"/>
        <rFont val="FreeSans"/>
        <family val="2"/>
      </rPr>
      <t xml:space="preserve">รายการ </t>
    </r>
    <r>
      <rPr>
        <sz val="10"/>
        <color rgb="FF000000"/>
        <rFont val="Tahoma"/>
        <family val="0"/>
        <charset val="1"/>
      </rPr>
      <t xml:space="preserve">| </t>
    </r>
    <r>
      <rPr>
        <sz val="10"/>
        <color rgb="FF000000"/>
        <rFont val="FreeSans"/>
        <family val="2"/>
      </rPr>
      <t xml:space="preserve">ใบของพาร์ทเองมี </t>
    </r>
    <r>
      <rPr>
        <sz val="10"/>
        <color rgb="FF000000"/>
        <rFont val="Tahoma"/>
        <family val="0"/>
        <charset val="1"/>
      </rPr>
      <t xml:space="preserve">13 (</t>
    </r>
    <r>
      <rPr>
        <sz val="10"/>
        <color rgb="FF000000"/>
        <rFont val="FreeSans"/>
        <family val="2"/>
      </rPr>
      <t xml:space="preserve">เกิน </t>
    </r>
    <r>
      <rPr>
        <sz val="10"/>
        <color rgb="FF000000"/>
        <rFont val="Tahoma"/>
        <family val="0"/>
        <charset val="1"/>
      </rPr>
      <t xml:space="preserve">20066630)</t>
    </r>
  </si>
  <si>
    <r>
      <rPr>
        <sz val="10"/>
        <color rgb="FF000000"/>
        <rFont val="Tahoma"/>
        <family val="0"/>
        <charset val="1"/>
      </rPr>
      <t xml:space="preserve">20066630 </t>
    </r>
    <r>
      <rPr>
        <sz val="10"/>
        <color rgb="FF000000"/>
        <rFont val="FreeSans"/>
        <family val="2"/>
      </rPr>
      <t xml:space="preserve">ไม่ถูกระเบิดเมื่อเปิดจากใบ </t>
    </r>
    <r>
      <rPr>
        <sz val="10"/>
        <color rgb="FF000000"/>
        <rFont val="Tahoma"/>
        <family val="0"/>
        <charset val="1"/>
      </rPr>
      <t xml:space="preserve">FG</t>
    </r>
  </si>
  <si>
    <t xml:space="preserve">E1</t>
  </si>
  <si>
    <t xml:space="preserve">E</t>
  </si>
  <si>
    <t xml:space="preserve">20058498</t>
  </si>
  <si>
    <r>
      <rPr>
        <sz val="10"/>
        <color rgb="FF000000"/>
        <rFont val="Tahoma"/>
        <family val="0"/>
        <charset val="1"/>
      </rPr>
      <t xml:space="preserve">SUPT ASY RAD(MB3B-8A297-CB) </t>
    </r>
    <r>
      <rPr>
        <sz val="10"/>
        <color rgb="FF000000"/>
        <rFont val="FreeSans"/>
        <family val="2"/>
      </rPr>
      <t xml:space="preserve">ก่อนชุบ</t>
    </r>
  </si>
  <si>
    <r>
      <rPr>
        <sz val="10"/>
        <color rgb="FF000000"/>
        <rFont val="Tahoma"/>
        <family val="0"/>
        <charset val="1"/>
      </rPr>
      <t xml:space="preserve">15 </t>
    </r>
    <r>
      <rPr>
        <sz val="10"/>
        <color rgb="FF000000"/>
        <rFont val="FreeSans"/>
        <family val="2"/>
      </rPr>
      <t xml:space="preserve">รายการ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ตรงกันเป๊ะทุกใบ</t>
    </r>
    <r>
      <rPr>
        <sz val="10"/>
        <color rgb="FF000000"/>
        <rFont val="Tahoma"/>
        <family val="0"/>
        <charset val="1"/>
      </rPr>
      <t xml:space="preserve">)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</si>
  <si>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10086024 / 10100814 / 10101158 + </t>
    </r>
    <r>
      <rPr>
        <sz val="10"/>
        <color rgb="FF000000"/>
        <rFont val="FreeSans"/>
        <family val="2"/>
      </rPr>
      <t xml:space="preserve">ใบของตัวเอง </t>
    </r>
    <r>
      <rPr>
        <sz val="10"/>
        <color rgb="FF000000"/>
        <rFont val="Tahoma"/>
        <family val="0"/>
        <charset val="1"/>
      </rPr>
      <t xml:space="preserve">= 4 </t>
    </r>
    <r>
      <rPr>
        <sz val="10"/>
        <color rgb="FF000000"/>
        <rFont val="FreeSans"/>
        <family val="2"/>
      </rPr>
      <t xml:space="preserve">ใบ</t>
    </r>
  </si>
  <si>
    <r>
      <rPr>
        <sz val="10"/>
        <color rgb="FF000000"/>
        <rFont val="FreeSans"/>
        <family val="2"/>
      </rPr>
      <t xml:space="preserve">ยังไม่ผิด แต่วันหน้าแก้ใบเดียวแล้วอีก </t>
    </r>
    <r>
      <rPr>
        <sz val="10"/>
        <color rgb="FF000000"/>
        <rFont val="Tahoma"/>
        <family val="0"/>
        <charset val="1"/>
      </rPr>
      <t xml:space="preserve">3 </t>
    </r>
    <r>
      <rPr>
        <sz val="10"/>
        <color rgb="FF000000"/>
        <rFont val="FreeSans"/>
        <family val="2"/>
      </rPr>
      <t xml:space="preserve">ใบค้าง </t>
    </r>
    <r>
      <rPr>
        <sz val="10"/>
        <color rgb="FF000000"/>
        <rFont val="Tahoma"/>
        <family val="0"/>
        <charset val="1"/>
      </rPr>
      <t xml:space="preserve">= </t>
    </r>
    <r>
      <rPr>
        <sz val="10"/>
        <color rgb="FF000000"/>
        <rFont val="FreeSans"/>
        <family val="2"/>
      </rPr>
      <t xml:space="preserve">ขัดกันเงียบ</t>
    </r>
  </si>
  <si>
    <t xml:space="preserve">เลือกว่าจะเก็บใบไหนเป็นตัวจริง</t>
  </si>
  <si>
    <t xml:space="preserve">E2</t>
  </si>
  <si>
    <t xml:space="preserve">20059360</t>
  </si>
  <si>
    <r>
      <rPr>
        <sz val="10"/>
        <color rgb="FF000000"/>
        <rFont val="Tahoma"/>
        <family val="0"/>
        <charset val="1"/>
      </rPr>
      <t xml:space="preserve">BRKASY RR BMPR-N1WB-17E850R-PIA04 </t>
    </r>
    <r>
      <rPr>
        <sz val="10"/>
        <color rgb="FF000000"/>
        <rFont val="FreeSans"/>
        <family val="2"/>
      </rPr>
      <t xml:space="preserve">ก่อนชุบ</t>
    </r>
  </si>
  <si>
    <r>
      <rPr>
        <sz val="10"/>
        <color rgb="FF000000"/>
        <rFont val="Tahoma"/>
        <family val="0"/>
        <charset val="1"/>
      </rPr>
      <t xml:space="preserve">5 </t>
    </r>
    <r>
      <rPr>
        <sz val="10"/>
        <color rgb="FF000000"/>
        <rFont val="FreeSans"/>
        <family val="2"/>
      </rPr>
      <t xml:space="preserve">รายการ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ตรงกัน</t>
    </r>
    <r>
      <rPr>
        <sz val="10"/>
        <color rgb="FF000000"/>
        <rFont val="Tahoma"/>
        <family val="0"/>
        <charset val="1"/>
      </rPr>
      <t xml:space="preserve">)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</si>
  <si>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10100286 + </t>
    </r>
    <r>
      <rPr>
        <sz val="10"/>
        <color rgb="FF000000"/>
        <rFont val="FreeSans"/>
        <family val="2"/>
      </rPr>
      <t xml:space="preserve">ใบของตัวเอง</t>
    </r>
  </si>
  <si>
    <r>
      <rPr>
        <sz val="10"/>
        <color rgb="FF000000"/>
        <rFont val="FreeSans"/>
        <family val="2"/>
      </rPr>
      <t xml:space="preserve">ยังไม่ผิด แต่ต้องแก้ </t>
    </r>
    <r>
      <rPr>
        <sz val="10"/>
        <color rgb="FF000000"/>
        <rFont val="Tahoma"/>
        <family val="0"/>
        <charset val="1"/>
      </rPr>
      <t xml:space="preserve">2 </t>
    </r>
    <r>
      <rPr>
        <sz val="10"/>
        <color rgb="FF000000"/>
        <rFont val="FreeSans"/>
        <family val="2"/>
      </rPr>
      <t xml:space="preserve">ที่ทุกครั้ง</t>
    </r>
  </si>
  <si>
    <t xml:space="preserve">E3</t>
  </si>
  <si>
    <t xml:space="preserve">20063131</t>
  </si>
  <si>
    <t xml:space="preserve">H BRACE RH (N1WB-E16498-AA)</t>
  </si>
  <si>
    <r>
      <rPr>
        <sz val="10"/>
        <color rgb="FF000000"/>
        <rFont val="Tahoma"/>
        <family val="0"/>
        <charset val="1"/>
      </rPr>
      <t xml:space="preserve">20063130 (</t>
    </r>
    <r>
      <rPr>
        <sz val="10"/>
        <color rgb="FF000000"/>
        <rFont val="FreeSans"/>
        <family val="2"/>
      </rPr>
      <t xml:space="preserve">ตรงกัน</t>
    </r>
    <r>
      <rPr>
        <sz val="10"/>
        <color rgb="FF000000"/>
        <rFont val="Tahoma"/>
        <family val="0"/>
        <charset val="1"/>
      </rPr>
      <t xml:space="preserve">)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</si>
  <si>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10087199 + </t>
    </r>
    <r>
      <rPr>
        <sz val="10"/>
        <color rgb="FF000000"/>
        <rFont val="FreeSans"/>
        <family val="2"/>
      </rPr>
      <t xml:space="preserve">ใบของตัวเอง</t>
    </r>
  </si>
  <si>
    <t xml:space="preserve">E4</t>
  </si>
  <si>
    <t xml:space="preserve">20059822</t>
  </si>
  <si>
    <r>
      <rPr>
        <sz val="10"/>
        <color rgb="FF000000"/>
        <rFont val="Tahoma"/>
        <family val="0"/>
        <charset val="1"/>
      </rPr>
      <t xml:space="preserve">REINF FRT BMPR-N1WB-17A835-RA </t>
    </r>
    <r>
      <rPr>
        <sz val="10"/>
        <color rgb="FF000000"/>
        <rFont val="FreeSans"/>
        <family val="2"/>
      </rPr>
      <t xml:space="preserve">หลังชุบ</t>
    </r>
  </si>
  <si>
    <r>
      <rPr>
        <sz val="10"/>
        <color rgb="FF000000"/>
        <rFont val="Tahoma"/>
        <family val="0"/>
        <charset val="1"/>
      </rPr>
      <t xml:space="preserve">20059851 (</t>
    </r>
    <r>
      <rPr>
        <sz val="10"/>
        <color rgb="FF000000"/>
        <rFont val="FreeSans"/>
        <family val="2"/>
      </rPr>
      <t xml:space="preserve">ตรงกัน</t>
    </r>
    <r>
      <rPr>
        <sz val="10"/>
        <color rgb="FF000000"/>
        <rFont val="Tahoma"/>
        <family val="0"/>
        <charset val="1"/>
      </rPr>
      <t xml:space="preserve">)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</si>
  <si>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10092454 + </t>
    </r>
    <r>
      <rPr>
        <sz val="10"/>
        <color rgb="FF000000"/>
        <rFont val="FreeSans"/>
        <family val="2"/>
      </rPr>
      <t xml:space="preserve">ใบของตัวเอง</t>
    </r>
  </si>
  <si>
    <t xml:space="preserve">E5</t>
  </si>
  <si>
    <t xml:space="preserve">20058488</t>
  </si>
  <si>
    <t xml:space="preserve">BRKT RAD SUPT UPR RH (MB3B8226AA)</t>
  </si>
  <si>
    <r>
      <rPr>
        <sz val="10"/>
        <color rgb="FF000000"/>
        <rFont val="Tahoma"/>
        <family val="0"/>
        <charset val="1"/>
      </rPr>
      <t xml:space="preserve">20058693 (</t>
    </r>
    <r>
      <rPr>
        <sz val="10"/>
        <color rgb="FF000000"/>
        <rFont val="FreeSans"/>
        <family val="2"/>
      </rPr>
      <t xml:space="preserve">ตรงกัน</t>
    </r>
    <r>
      <rPr>
        <sz val="10"/>
        <color rgb="FF000000"/>
        <rFont val="Tahoma"/>
        <family val="0"/>
        <charset val="1"/>
      </rPr>
      <t xml:space="preserve">)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</si>
  <si>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20058498 + </t>
    </r>
    <r>
      <rPr>
        <sz val="10"/>
        <color rgb="FF000000"/>
        <rFont val="FreeSans"/>
        <family val="2"/>
      </rPr>
      <t xml:space="preserve">ใบของตัวเอง</t>
    </r>
  </si>
  <si>
    <r>
      <rPr>
        <b val="true"/>
        <sz val="10"/>
        <color rgb="FF000000"/>
        <rFont val="FreeSans"/>
        <family val="2"/>
      </rPr>
      <t xml:space="preserve">ผู้รับงาน </t>
    </r>
    <r>
      <rPr>
        <b val="true"/>
        <sz val="10"/>
        <color rgb="FF000000"/>
        <rFont val="Tahoma"/>
        <family val="0"/>
        <charset val="1"/>
      </rPr>
      <t xml:space="preserve">(PE)</t>
    </r>
  </si>
  <si>
    <t xml:space="preserve">ผู้ตรวจทาน</t>
  </si>
  <si>
    <t xml:space="preserve">สรุปความคืบหน้า</t>
  </si>
  <si>
    <r>
      <rPr>
        <sz val="9"/>
        <color rgb="FF555555"/>
        <rFont val="FreeSans"/>
        <family val="2"/>
      </rPr>
      <t xml:space="preserve">นับสดจากคอลัมน์ </t>
    </r>
    <r>
      <rPr>
        <sz val="9"/>
        <color rgb="FF555555"/>
        <rFont val="Tahoma"/>
        <family val="0"/>
        <charset val="1"/>
      </rPr>
      <t xml:space="preserve">"</t>
    </r>
    <r>
      <rPr>
        <sz val="9"/>
        <color rgb="FF555555"/>
        <rFont val="FreeSans"/>
        <family val="2"/>
      </rPr>
      <t xml:space="preserve">ผลตัดสิน</t>
    </r>
    <r>
      <rPr>
        <sz val="9"/>
        <color rgb="FF555555"/>
        <rFont val="Tahoma"/>
        <family val="0"/>
        <charset val="1"/>
      </rPr>
      <t xml:space="preserve">" </t>
    </r>
    <r>
      <rPr>
        <sz val="9"/>
        <color rgb="FF555555"/>
        <rFont val="FreeSans"/>
        <family val="2"/>
      </rPr>
      <t xml:space="preserve">ในชีทใบงาน </t>
    </r>
    <r>
      <rPr>
        <sz val="9"/>
        <color rgb="FF555555"/>
        <rFont val="Tahoma"/>
        <family val="0"/>
        <charset val="1"/>
      </rPr>
      <t xml:space="preserve">PE — </t>
    </r>
    <r>
      <rPr>
        <sz val="9"/>
        <color rgb="FF555555"/>
        <rFont val="FreeSans"/>
        <family val="2"/>
      </rPr>
      <t xml:space="preserve">กรอกแล้วตัวเลขขยับเอง</t>
    </r>
  </si>
  <si>
    <t xml:space="preserve">รายการทั้งหมด</t>
  </si>
  <si>
    <t xml:space="preserve">ทุกกลุ่มรวมกัน</t>
  </si>
  <si>
    <t xml:space="preserve">ยังไม่ตัดสิน</t>
  </si>
  <si>
    <t xml:space="preserve">ช่องผลตัดสินยังว่าง</t>
  </si>
  <si>
    <r>
      <rPr>
        <sz val="10"/>
        <color rgb="FF000000"/>
        <rFont val="FreeSans"/>
        <family val="2"/>
      </rPr>
      <t xml:space="preserve">แก้ </t>
    </r>
    <r>
      <rPr>
        <sz val="10"/>
        <color rgb="FF000000"/>
        <rFont val="Tahoma"/>
        <family val="0"/>
        <charset val="1"/>
      </rPr>
      <t xml:space="preserve">BOM </t>
    </r>
    <r>
      <rPr>
        <sz val="10"/>
        <color rgb="FF000000"/>
        <rFont val="FreeSans"/>
        <family val="2"/>
      </rPr>
      <t xml:space="preserve">แล้ว</t>
    </r>
  </si>
  <si>
    <t xml:space="preserve">แก้ในระบบเรียบร้อย</t>
  </si>
  <si>
    <r>
      <rPr>
        <sz val="10"/>
        <color rgb="FF000000"/>
        <rFont val="FreeSans"/>
        <family val="2"/>
      </rPr>
      <t xml:space="preserve">ถูกทั้ง </t>
    </r>
    <r>
      <rPr>
        <sz val="10"/>
        <color rgb="FF000000"/>
        <rFont val="Tahoma"/>
        <family val="0"/>
        <charset val="1"/>
      </rPr>
      <t xml:space="preserve">2 </t>
    </r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ปล่อยไว้</t>
    </r>
    <r>
      <rPr>
        <sz val="10"/>
        <color rgb="FF000000"/>
        <rFont val="Tahoma"/>
        <family val="0"/>
        <charset val="1"/>
      </rPr>
      <t xml:space="preserve">)</t>
    </r>
  </si>
  <si>
    <r>
      <rPr>
        <sz val="9"/>
        <color rgb="FF555555"/>
        <rFont val="FreeSans"/>
        <family val="2"/>
      </rPr>
      <t xml:space="preserve">คนละรุ่น</t>
    </r>
    <r>
      <rPr>
        <sz val="9"/>
        <color rgb="FF555555"/>
        <rFont val="Tahoma"/>
        <family val="0"/>
        <charset val="1"/>
      </rPr>
      <t xml:space="preserve">/</t>
    </r>
    <r>
      <rPr>
        <sz val="9"/>
        <color rgb="FF555555"/>
        <rFont val="FreeSans"/>
        <family val="2"/>
      </rPr>
      <t xml:space="preserve">คนละมุมมอง ไม่ต้องแก้</t>
    </r>
  </si>
  <si>
    <t xml:space="preserve">พักไว้ก่อน</t>
  </si>
  <si>
    <t xml:space="preserve">รอข้อมูลเพิ่ม</t>
  </si>
  <si>
    <t xml:space="preserve">ต้องถามคนอื่น</t>
  </si>
  <si>
    <t xml:space="preserve">ต้องให้คนอื่นเคาะก่อน</t>
  </si>
  <si>
    <t xml:space="preserve">ความเร่งของแต่ละกลุ่ม</t>
  </si>
  <si>
    <r>
      <rPr>
        <b val="true"/>
        <sz val="10"/>
        <color rgb="FF000000"/>
        <rFont val="Tahoma"/>
        <family val="0"/>
        <charset val="1"/>
      </rPr>
      <t xml:space="preserve">A — </t>
    </r>
    <r>
      <rPr>
        <b val="true"/>
        <sz val="10"/>
        <color rgb="FF000000"/>
        <rFont val="FreeSans"/>
        <family val="2"/>
      </rPr>
      <t xml:space="preserve">ตัวเลขผิดแน่</t>
    </r>
  </si>
  <si>
    <t xml:space="preserve">รายการตรงกัน ต่างแค่จำนวน และไม่ใช่เรื่องหน่วย — แก้ใบที่ผิด</t>
  </si>
  <si>
    <r>
      <rPr>
        <b val="true"/>
        <sz val="10"/>
        <color rgb="FF000000"/>
        <rFont val="Tahoma"/>
        <family val="0"/>
        <charset val="1"/>
      </rPr>
      <t xml:space="preserve">B — </t>
    </r>
    <r>
      <rPr>
        <b val="true"/>
        <sz val="10"/>
        <color rgb="FF000000"/>
        <rFont val="FreeSans"/>
        <family val="2"/>
      </rPr>
      <t xml:space="preserve">ชิ้น </t>
    </r>
    <r>
      <rPr>
        <b val="true"/>
        <sz val="10"/>
        <color rgb="FF000000"/>
        <rFont val="Tahoma"/>
        <family val="0"/>
        <charset val="1"/>
      </rPr>
      <t xml:space="preserve">vs shot (x2)</t>
    </r>
  </si>
  <si>
    <t xml:space="preserve">ไม่ใช่กรอกผิด คนละหน่วยในช่องเดียวกัน — ต้องเคาะหน่วยทั้งโรงงาน ห้ามแก้ทีละใบ</t>
  </si>
  <si>
    <r>
      <rPr>
        <b val="true"/>
        <sz val="10"/>
        <color rgb="FF000000"/>
        <rFont val="Tahoma"/>
        <family val="0"/>
        <charset val="1"/>
      </rPr>
      <t xml:space="preserve">C — </t>
    </r>
    <r>
      <rPr>
        <b val="true"/>
        <sz val="10"/>
        <color rgb="FF000000"/>
        <rFont val="FreeSans"/>
        <family val="2"/>
      </rPr>
      <t xml:space="preserve">ใบแยกตามรุ่นอุปกรณ์ยึด</t>
    </r>
  </si>
  <si>
    <r>
      <rPr>
        <sz val="9"/>
        <color rgb="FF555555"/>
        <rFont val="FreeSans"/>
        <family val="2"/>
      </rPr>
      <t xml:space="preserve">เปิดใบไหนได้แค่ของในใบนั้น </t>
    </r>
    <r>
      <rPr>
        <sz val="9"/>
        <color rgb="FF555555"/>
        <rFont val="Tahoma"/>
        <family val="0"/>
        <charset val="1"/>
      </rPr>
      <t xml:space="preserve">(</t>
    </r>
    <r>
      <rPr>
        <sz val="9"/>
        <color rgb="FF555555"/>
        <rFont val="FreeSans"/>
        <family val="2"/>
      </rPr>
      <t xml:space="preserve">คอยล์หาย</t>
    </r>
    <r>
      <rPr>
        <sz val="9"/>
        <color rgb="FF555555"/>
        <rFont val="Tahoma"/>
        <family val="0"/>
        <charset val="1"/>
      </rPr>
      <t xml:space="preserve">/BLANK </t>
    </r>
    <r>
      <rPr>
        <sz val="9"/>
        <color rgb="FF555555"/>
        <rFont val="FreeSans"/>
        <family val="2"/>
      </rPr>
      <t xml:space="preserve">หาย</t>
    </r>
    <r>
      <rPr>
        <sz val="9"/>
        <color rgb="FF555555"/>
        <rFont val="Tahoma"/>
        <family val="0"/>
        <charset val="1"/>
      </rPr>
      <t xml:space="preserve">) — </t>
    </r>
    <r>
      <rPr>
        <sz val="9"/>
        <color rgb="FF555555"/>
        <rFont val="FreeSans"/>
        <family val="2"/>
      </rPr>
      <t xml:space="preserve">จัดโครงใบใหม่</t>
    </r>
  </si>
  <si>
    <r>
      <rPr>
        <b val="true"/>
        <sz val="10"/>
        <color rgb="FF000000"/>
        <rFont val="Tahoma"/>
        <family val="0"/>
        <charset val="1"/>
      </rPr>
      <t xml:space="preserve">D — </t>
    </r>
    <r>
      <rPr>
        <b val="true"/>
        <sz val="10"/>
        <color rgb="FF000000"/>
        <rFont val="FreeSans"/>
        <family val="2"/>
      </rPr>
      <t xml:space="preserve">ใบแม่ขาดของ</t>
    </r>
  </si>
  <si>
    <r>
      <rPr>
        <sz val="9"/>
        <color rgb="FF555555"/>
        <rFont val="FreeSans"/>
        <family val="2"/>
      </rPr>
      <t xml:space="preserve">เร่งที่สุดเชิงยอด</t>
    </r>
    <r>
      <rPr>
        <sz val="9"/>
        <color rgb="FF555555"/>
        <rFont val="Tahoma"/>
        <family val="0"/>
        <charset val="1"/>
      </rPr>
      <t xml:space="preserve">: </t>
    </r>
    <r>
      <rPr>
        <sz val="9"/>
        <color rgb="FF555555"/>
        <rFont val="FreeSans"/>
        <family val="2"/>
      </rPr>
      <t xml:space="preserve">ของที่ขาดไม่ถูกระเบิดเลย ความต้องการเป็น </t>
    </r>
    <r>
      <rPr>
        <sz val="9"/>
        <color rgb="FF555555"/>
        <rFont val="Tahoma"/>
        <family val="0"/>
        <charset val="1"/>
      </rPr>
      <t xml:space="preserve">0 </t>
    </r>
    <r>
      <rPr>
        <sz val="9"/>
        <color rgb="FF555555"/>
        <rFont val="FreeSans"/>
        <family val="2"/>
      </rPr>
      <t xml:space="preserve">ทั้งที่ใช้จริง</t>
    </r>
  </si>
  <si>
    <r>
      <rPr>
        <b val="true"/>
        <sz val="10"/>
        <color rgb="FF000000"/>
        <rFont val="Tahoma"/>
        <family val="0"/>
        <charset val="1"/>
      </rPr>
      <t xml:space="preserve">E — </t>
    </r>
    <r>
      <rPr>
        <b val="true"/>
        <sz val="10"/>
        <color rgb="FF000000"/>
        <rFont val="FreeSans"/>
        <family val="2"/>
      </rPr>
      <t xml:space="preserve">ตรงกันแต่ยังนิยามหลายใบ</t>
    </r>
  </si>
  <si>
    <r>
      <rPr>
        <sz val="9"/>
        <color rgb="FF555555"/>
        <rFont val="FreeSans"/>
        <family val="2"/>
      </rPr>
      <t xml:space="preserve">ยังไม่ผิดวันนี้ — แต่วันหน้าแก้ใบเดียวแล้วใบอื่นค้าง </t>
    </r>
    <r>
      <rPr>
        <sz val="9"/>
        <color rgb="FF555555"/>
        <rFont val="Tahoma"/>
        <family val="0"/>
        <charset val="1"/>
      </rPr>
      <t xml:space="preserve">= </t>
    </r>
    <r>
      <rPr>
        <sz val="9"/>
        <color rgb="FF555555"/>
        <rFont val="FreeSans"/>
        <family val="2"/>
      </rPr>
      <t xml:space="preserve">ขัดกันเงียบ</t>
    </r>
  </si>
  <si>
    <t xml:space="preserve">ระบบตรวจแล้วว่าไม่ใช่ปัญหา — ไม่ต้องไล่</t>
  </si>
  <si>
    <t xml:space="preserve">ใส่ไว้เพื่อไม่ให้เสียเวลาไล่ของที่ถูกอยู่แล้ว</t>
  </si>
  <si>
    <t xml:space="preserve">เรื่อง</t>
  </si>
  <si>
    <t xml:space="preserve">จำนวน</t>
  </si>
  <si>
    <t xml:space="preserve">ทำไมถึงไม่ใช่ปัญหา</t>
  </si>
  <si>
    <r>
      <rPr>
        <b val="true"/>
        <sz val="10"/>
        <color rgb="FF000000"/>
        <rFont val="FreeSans"/>
        <family val="2"/>
      </rPr>
      <t xml:space="preserve">ลึกกว่ากัน </t>
    </r>
    <r>
      <rPr>
        <b val="true"/>
        <sz val="10"/>
        <color rgb="FF000000"/>
        <rFont val="Tahoma"/>
        <family val="0"/>
        <charset val="1"/>
      </rPr>
      <t xml:space="preserve">1 </t>
    </r>
    <r>
      <rPr>
        <b val="true"/>
        <sz val="10"/>
        <color rgb="FF000000"/>
        <rFont val="FreeSans"/>
        <family val="2"/>
      </rPr>
      <t xml:space="preserve">ขั้น </t>
    </r>
    <r>
      <rPr>
        <b val="true"/>
        <sz val="10"/>
        <color rgb="FF000000"/>
        <rFont val="Tahoma"/>
        <family val="0"/>
        <charset val="1"/>
      </rPr>
      <t xml:space="preserve">(</t>
    </r>
    <r>
      <rPr>
        <b val="true"/>
        <sz val="10"/>
        <color rgb="FF000000"/>
        <rFont val="FreeSans"/>
        <family val="2"/>
      </rPr>
      <t xml:space="preserve">โซ่ตรงกัน</t>
    </r>
    <r>
      <rPr>
        <b val="true"/>
        <sz val="10"/>
        <color rgb="FF000000"/>
        <rFont val="Tahoma"/>
        <family val="0"/>
        <charset val="1"/>
      </rPr>
      <t xml:space="preserve">)</t>
    </r>
  </si>
  <si>
    <r>
      <rPr>
        <b val="true"/>
        <sz val="10"/>
        <color rgb="FF000000"/>
        <rFont val="Tahoma"/>
        <family val="0"/>
        <charset val="1"/>
      </rPr>
      <t xml:space="preserve">10 </t>
    </r>
    <r>
      <rPr>
        <b val="true"/>
        <sz val="10"/>
        <color rgb="FF000000"/>
        <rFont val="FreeSans"/>
        <family val="2"/>
      </rPr>
      <t xml:space="preserve">คู่</t>
    </r>
  </si>
  <si>
    <r>
      <rPr>
        <sz val="10"/>
        <color rgb="FF000000"/>
        <rFont val="FreeSans"/>
        <family val="2"/>
      </rPr>
      <t xml:space="preserve">ใบ </t>
    </r>
    <r>
      <rPr>
        <sz val="10"/>
        <color rgb="FF000000"/>
        <rFont val="Tahoma"/>
        <family val="0"/>
        <charset val="1"/>
      </rPr>
      <t xml:space="preserve">FG </t>
    </r>
    <r>
      <rPr>
        <sz val="10"/>
        <color rgb="FF000000"/>
        <rFont val="FreeSans"/>
        <family val="2"/>
      </rPr>
      <t xml:space="preserve">บันทึกละเอียดกว่าใบของพาร์ท แต่ของตรงกัน เช่น ใบ </t>
    </r>
    <r>
      <rPr>
        <sz val="10"/>
        <color rgb="FF000000"/>
        <rFont val="Tahoma"/>
        <family val="0"/>
        <charset val="1"/>
      </rPr>
      <t xml:space="preserve">FG </t>
    </r>
    <r>
      <rPr>
        <sz val="10"/>
        <color rgb="FF000000"/>
        <rFont val="FreeSans"/>
        <family val="2"/>
      </rPr>
      <t xml:space="preserve">เขียน </t>
    </r>
    <r>
      <rPr>
        <sz val="10"/>
        <color rgb="FF000000"/>
        <rFont val="Tahoma"/>
        <family val="0"/>
        <charset val="1"/>
      </rPr>
      <t xml:space="preserve">20059852 -&gt; 20059853 </t>
    </r>
    <r>
      <rPr>
        <sz val="10"/>
        <color rgb="FF000000"/>
        <rFont val="FreeSans"/>
        <family val="2"/>
      </rPr>
      <t xml:space="preserve">ส่วนใบของ </t>
    </r>
    <r>
      <rPr>
        <sz val="10"/>
        <color rgb="FF000000"/>
        <rFont val="Tahoma"/>
        <family val="0"/>
        <charset val="1"/>
      </rPr>
      <t xml:space="preserve">20059852 </t>
    </r>
    <r>
      <rPr>
        <sz val="10"/>
        <color rgb="FF000000"/>
        <rFont val="FreeSans"/>
        <family val="2"/>
      </rPr>
      <t xml:space="preserve">เขียน </t>
    </r>
    <r>
      <rPr>
        <sz val="10"/>
        <color rgb="FF000000"/>
        <rFont val="Tahoma"/>
        <family val="0"/>
        <charset val="1"/>
      </rPr>
      <t xml:space="preserve">-&gt; 20059854 + 30042570 </t>
    </r>
    <r>
      <rPr>
        <sz val="10"/>
        <color rgb="FF000000"/>
        <rFont val="FreeSans"/>
        <family val="2"/>
      </rPr>
      <t xml:space="preserve">ซึ่ง </t>
    </r>
    <r>
      <rPr>
        <sz val="10"/>
        <color rgb="FF000000"/>
        <rFont val="Tahoma"/>
        <family val="0"/>
        <charset val="1"/>
      </rPr>
      <t xml:space="preserve">2 </t>
    </r>
    <r>
      <rPr>
        <sz val="10"/>
        <color rgb="FF000000"/>
        <rFont val="FreeSans"/>
        <family val="2"/>
      </rPr>
      <t xml:space="preserve">ตัวนั้นอยู่ใต้ </t>
    </r>
    <r>
      <rPr>
        <sz val="10"/>
        <color rgb="FF000000"/>
        <rFont val="Tahoma"/>
        <family val="0"/>
        <charset val="1"/>
      </rPr>
      <t xml:space="preserve">20059853 </t>
    </r>
    <r>
      <rPr>
        <sz val="10"/>
        <color rgb="FF000000"/>
        <rFont val="FreeSans"/>
        <family val="2"/>
      </rPr>
      <t xml:space="preserve">อีกชั้น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ส่วนใหญ่อยู่ใต้ใบ </t>
    </r>
    <r>
      <rPr>
        <sz val="10"/>
        <color rgb="FF000000"/>
        <rFont val="Tahoma"/>
        <family val="0"/>
        <charset val="1"/>
      </rPr>
      <t xml:space="preserve">10100286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10092454)</t>
    </r>
  </si>
  <si>
    <r>
      <rPr>
        <b val="true"/>
        <sz val="10"/>
        <color rgb="FF000000"/>
        <rFont val="FreeSans"/>
        <family val="2"/>
      </rPr>
      <t xml:space="preserve">ใบขั้นงาน </t>
    </r>
    <r>
      <rPr>
        <b val="true"/>
        <sz val="10"/>
        <color rgb="FF000000"/>
        <rFont val="Tahoma"/>
        <family val="0"/>
        <charset val="1"/>
      </rPr>
      <t xml:space="preserve">(OP)</t>
    </r>
  </si>
  <si>
    <r>
      <rPr>
        <b val="true"/>
        <sz val="10"/>
        <color rgb="FF000000"/>
        <rFont val="Tahoma"/>
        <family val="0"/>
        <charset val="1"/>
      </rPr>
      <t xml:space="preserve">5 </t>
    </r>
    <r>
      <rPr>
        <b val="true"/>
        <sz val="10"/>
        <color rgb="FF000000"/>
        <rFont val="FreeSans"/>
        <family val="2"/>
      </rPr>
      <t xml:space="preserve">คู่</t>
    </r>
  </si>
  <si>
    <r>
      <rPr>
        <sz val="10"/>
        <color rgb="FF000000"/>
        <rFont val="FreeSans"/>
        <family val="2"/>
      </rPr>
      <t xml:space="preserve">ใบขั้นงานตอบ </t>
    </r>
    <r>
      <rPr>
        <sz val="10"/>
        <color rgb="FF000000"/>
        <rFont val="Tahoma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ขั้นนี้กินอะไร</t>
    </r>
    <r>
      <rPr>
        <sz val="10"/>
        <color rgb="FF000000"/>
        <rFont val="Tahoma"/>
        <family val="0"/>
        <charset val="1"/>
      </rPr>
      <t xml:space="preserve">" </t>
    </r>
    <r>
      <rPr>
        <sz val="10"/>
        <color rgb="FF000000"/>
        <rFont val="FreeSans"/>
        <family val="2"/>
      </rPr>
      <t xml:space="preserve">ใบพาร์ทตอบ </t>
    </r>
    <r>
      <rPr>
        <sz val="10"/>
        <color rgb="FF000000"/>
        <rFont val="Tahoma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พาร์ทนี้ประกอบจากอะไร</t>
    </r>
    <r>
      <rPr>
        <sz val="10"/>
        <color rgb="FF000000"/>
        <rFont val="Tahoma"/>
        <family val="0"/>
        <charset val="1"/>
      </rPr>
      <t xml:space="preserve">" — </t>
    </r>
    <r>
      <rPr>
        <sz val="10"/>
        <color rgb="FF000000"/>
        <rFont val="FreeSans"/>
        <family val="2"/>
      </rPr>
      <t xml:space="preserve">คนละคำถาม ถูกทั้งคู่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</si>
</sst>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FreeSans"/>
      <family val="2"/>
    </font>
    <font>
      <b val="true"/>
      <sz val="14"/>
      <color rgb="FF000000"/>
      <name val="Tahoma"/>
      <family val="0"/>
      <charset val="1"/>
    </font>
    <font>
      <sz val="9"/>
      <color rgb="FF555555"/>
      <name val="FreeSans"/>
      <family val="2"/>
    </font>
    <font>
      <sz val="9"/>
      <color rgb="FF555555"/>
      <name val="Tahoma"/>
      <family val="0"/>
      <charset val="1"/>
    </font>
    <font>
      <b val="true"/>
      <sz val="9"/>
      <color rgb="FFC62828"/>
      <name val="FreeSans"/>
      <family val="2"/>
    </font>
    <font>
      <b val="true"/>
      <sz val="9"/>
      <color rgb="FFC62828"/>
      <name val="Tahoma"/>
      <family val="0"/>
      <charset val="1"/>
    </font>
    <font>
      <b val="true"/>
      <sz val="10"/>
      <color rgb="FFFFFFFF"/>
      <name val="FreeSans"/>
      <family val="2"/>
    </font>
    <font>
      <b val="true"/>
      <sz val="10"/>
      <color rgb="FFFFFFFF"/>
      <name val="Tahoma"/>
      <family val="0"/>
      <charset val="1"/>
    </font>
    <font>
      <sz val="9"/>
      <color rgb="FF888888"/>
      <name val="Tahoma"/>
      <family val="0"/>
      <charset val="1"/>
    </font>
    <font>
      <sz val="9"/>
      <color rgb="FF888888"/>
      <name val="FreeSans"/>
      <family val="2"/>
    </font>
    <font>
      <b val="true"/>
      <sz val="10"/>
      <color rgb="FFC62828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10"/>
      <color rgb="FF000000"/>
      <name val="Tahoma"/>
      <family val="0"/>
      <charset val="1"/>
    </font>
    <font>
      <sz val="10"/>
      <color rgb="FF000000"/>
      <name val="FreeSans"/>
      <family val="2"/>
    </font>
    <font>
      <b val="true"/>
      <sz val="10"/>
      <color rgb="FFEF6C00"/>
      <name val="Tahoma"/>
      <family val="0"/>
      <charset val="1"/>
    </font>
    <font>
      <b val="true"/>
      <sz val="10"/>
      <color rgb="FF6A1B9A"/>
      <name val="Tahoma"/>
      <family val="0"/>
      <charset val="1"/>
    </font>
    <font>
      <b val="true"/>
      <sz val="10"/>
      <color rgb="FFB71C1C"/>
      <name val="Tahoma"/>
      <family val="0"/>
      <charset val="1"/>
    </font>
    <font>
      <b val="true"/>
      <sz val="10"/>
      <color rgb="FF546E7A"/>
      <name val="Tahoma"/>
      <family val="0"/>
      <charset val="1"/>
    </font>
    <font>
      <b val="true"/>
      <sz val="10"/>
      <color rgb="FF000000"/>
      <name val="FreeSans"/>
      <family val="2"/>
    </font>
    <font>
      <b val="true"/>
      <sz val="13"/>
      <color rgb="FF000000"/>
      <name val="FreeSans"/>
      <family val="2"/>
    </font>
    <font>
      <b val="true"/>
      <sz val="12"/>
      <color rgb="FF000000"/>
      <name val="FreeSans"/>
      <family val="2"/>
    </font>
  </fonts>
  <fills count="5">
    <fill>
      <patternFill patternType="none"/>
    </fill>
    <fill>
      <patternFill patternType="gray125"/>
    </fill>
    <fill>
      <patternFill patternType="solid">
        <fgColor rgb="FF0D3D14"/>
        <bgColor rgb="FF333300"/>
      </patternFill>
    </fill>
    <fill>
      <patternFill patternType="solid">
        <fgColor rgb="FFEEEEEE"/>
        <bgColor rgb="FFFFFFFF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D3D14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46E7A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F6C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DBDBD"/>
      <rgbColor rgb="FF888888"/>
      <rgbColor rgb="FF9999FF"/>
      <rgbColor rgb="FFC62828"/>
      <rgbColor rgb="FFFFF9C4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6C00"/>
      <rgbColor rgb="FF546E7A"/>
      <rgbColor rgb="FF969696"/>
      <rgbColor rgb="FF003366"/>
      <rgbColor rgb="FF339966"/>
      <rgbColor rgb="FF0D3D14"/>
      <rgbColor rgb="FF333300"/>
      <rgbColor rgb="FFB71C1C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32"/>
    <col collapsed="false" customWidth="true" hidden="false" outlineLevel="0" max="6" min="6" style="0" width="46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24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5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5.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30" hidden="false" customHeight="tru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</row>
    <row r="7" customFormat="false" ht="25.5" hidden="false" customHeight="true" outlineLevel="0" collapsed="false">
      <c r="A7" s="5" t="s">
        <v>17</v>
      </c>
      <c r="B7" s="5" t="s">
        <v>18</v>
      </c>
      <c r="C7" s="5" t="s">
        <v>19</v>
      </c>
      <c r="D7" s="6" t="s">
        <v>20</v>
      </c>
      <c r="E7" s="6" t="s">
        <v>8</v>
      </c>
      <c r="F7" s="6" t="s">
        <v>21</v>
      </c>
      <c r="G7" s="6" t="s">
        <v>22</v>
      </c>
      <c r="H7" s="6" t="s">
        <v>11</v>
      </c>
      <c r="I7" s="6" t="s">
        <v>23</v>
      </c>
      <c r="J7" s="5" t="s">
        <v>24</v>
      </c>
      <c r="K7" s="6" t="s">
        <v>25</v>
      </c>
      <c r="L7" s="5" t="s">
        <v>26</v>
      </c>
      <c r="M7" s="6" t="s">
        <v>27</v>
      </c>
    </row>
    <row r="8" customFormat="false" ht="42" hidden="false" customHeight="true" outlineLevel="0" collapsed="false">
      <c r="A8" s="7" t="s">
        <v>28</v>
      </c>
      <c r="B8" s="7" t="s">
        <v>29</v>
      </c>
      <c r="C8" s="8" t="s">
        <v>30</v>
      </c>
      <c r="D8" s="9" t="s">
        <v>31</v>
      </c>
      <c r="E8" s="9" t="s">
        <v>32</v>
      </c>
      <c r="F8" s="10" t="s">
        <v>33</v>
      </c>
      <c r="G8" s="9" t="s">
        <v>34</v>
      </c>
      <c r="H8" s="10" t="s">
        <v>35</v>
      </c>
      <c r="I8" s="11"/>
      <c r="J8" s="11"/>
      <c r="K8" s="11"/>
      <c r="L8" s="11"/>
      <c r="M8" s="11"/>
    </row>
    <row r="9" customFormat="false" ht="42" hidden="false" customHeight="true" outlineLevel="0" collapsed="false">
      <c r="A9" s="7" t="s">
        <v>36</v>
      </c>
      <c r="B9" s="7" t="s">
        <v>29</v>
      </c>
      <c r="C9" s="8" t="s">
        <v>37</v>
      </c>
      <c r="D9" s="9" t="s">
        <v>38</v>
      </c>
      <c r="E9" s="9" t="s">
        <v>39</v>
      </c>
      <c r="F9" s="10" t="s">
        <v>40</v>
      </c>
      <c r="G9" s="9" t="s">
        <v>41</v>
      </c>
      <c r="H9" s="10" t="s">
        <v>42</v>
      </c>
      <c r="I9" s="11"/>
      <c r="J9" s="11"/>
      <c r="K9" s="11"/>
      <c r="L9" s="11"/>
      <c r="M9" s="11"/>
    </row>
    <row r="10" customFormat="false" ht="42" hidden="false" customHeight="true" outlineLevel="0" collapsed="false">
      <c r="A10" s="7" t="s">
        <v>43</v>
      </c>
      <c r="B10" s="7" t="s">
        <v>29</v>
      </c>
      <c r="C10" s="8" t="s">
        <v>44</v>
      </c>
      <c r="D10" s="9" t="s">
        <v>45</v>
      </c>
      <c r="E10" s="9" t="s">
        <v>46</v>
      </c>
      <c r="F10" s="10" t="s">
        <v>47</v>
      </c>
      <c r="G10" s="10" t="s">
        <v>48</v>
      </c>
      <c r="H10" s="10" t="s">
        <v>49</v>
      </c>
      <c r="I10" s="11"/>
      <c r="J10" s="11"/>
      <c r="K10" s="11"/>
      <c r="L10" s="11"/>
      <c r="M10" s="11"/>
    </row>
    <row r="11" customFormat="false" ht="42" hidden="false" customHeight="true" outlineLevel="0" collapsed="false">
      <c r="A11" s="12" t="s">
        <v>50</v>
      </c>
      <c r="B11" s="12" t="s">
        <v>51</v>
      </c>
      <c r="C11" s="8" t="s">
        <v>52</v>
      </c>
      <c r="D11" s="9" t="s">
        <v>53</v>
      </c>
      <c r="E11" s="9" t="s">
        <v>54</v>
      </c>
      <c r="F11" s="10" t="s">
        <v>55</v>
      </c>
      <c r="G11" s="10" t="s">
        <v>56</v>
      </c>
      <c r="H11" s="10" t="s">
        <v>57</v>
      </c>
      <c r="I11" s="11"/>
      <c r="J11" s="11"/>
      <c r="K11" s="11"/>
      <c r="L11" s="11"/>
      <c r="M11" s="11"/>
    </row>
    <row r="12" customFormat="false" ht="42" hidden="false" customHeight="true" outlineLevel="0" collapsed="false">
      <c r="A12" s="12" t="s">
        <v>58</v>
      </c>
      <c r="B12" s="12" t="s">
        <v>51</v>
      </c>
      <c r="C12" s="8" t="s">
        <v>59</v>
      </c>
      <c r="D12" s="9" t="s">
        <v>60</v>
      </c>
      <c r="E12" s="9" t="s">
        <v>61</v>
      </c>
      <c r="F12" s="10" t="s">
        <v>62</v>
      </c>
      <c r="G12" s="10" t="s">
        <v>63</v>
      </c>
      <c r="H12" s="10" t="s">
        <v>57</v>
      </c>
      <c r="I12" s="11"/>
      <c r="J12" s="11"/>
      <c r="K12" s="11"/>
      <c r="L12" s="11"/>
      <c r="M12" s="11"/>
    </row>
    <row r="13" customFormat="false" ht="42" hidden="false" customHeight="true" outlineLevel="0" collapsed="false">
      <c r="A13" s="12" t="s">
        <v>64</v>
      </c>
      <c r="B13" s="12" t="s">
        <v>51</v>
      </c>
      <c r="C13" s="8" t="s">
        <v>65</v>
      </c>
      <c r="D13" s="9" t="s">
        <v>66</v>
      </c>
      <c r="E13" s="9" t="s">
        <v>67</v>
      </c>
      <c r="F13" s="10" t="s">
        <v>68</v>
      </c>
      <c r="G13" s="10" t="s">
        <v>69</v>
      </c>
      <c r="H13" s="10" t="s">
        <v>57</v>
      </c>
      <c r="I13" s="11"/>
      <c r="J13" s="11"/>
      <c r="K13" s="11"/>
      <c r="L13" s="11"/>
      <c r="M13" s="11"/>
    </row>
    <row r="14" customFormat="false" ht="42" hidden="false" customHeight="true" outlineLevel="0" collapsed="false">
      <c r="A14" s="13" t="s">
        <v>70</v>
      </c>
      <c r="B14" s="13" t="s">
        <v>71</v>
      </c>
      <c r="C14" s="8" t="s">
        <v>72</v>
      </c>
      <c r="D14" s="9" t="s">
        <v>73</v>
      </c>
      <c r="E14" s="10" t="s">
        <v>74</v>
      </c>
      <c r="F14" s="10" t="s">
        <v>75</v>
      </c>
      <c r="G14" s="10" t="s">
        <v>76</v>
      </c>
      <c r="H14" s="10" t="s">
        <v>77</v>
      </c>
      <c r="I14" s="11"/>
      <c r="J14" s="11"/>
      <c r="K14" s="11"/>
      <c r="L14" s="11"/>
      <c r="M14" s="11"/>
    </row>
    <row r="15" customFormat="false" ht="42" hidden="false" customHeight="true" outlineLevel="0" collapsed="false">
      <c r="A15" s="13" t="s">
        <v>78</v>
      </c>
      <c r="B15" s="13" t="s">
        <v>71</v>
      </c>
      <c r="C15" s="8" t="s">
        <v>79</v>
      </c>
      <c r="D15" s="9" t="s">
        <v>80</v>
      </c>
      <c r="E15" s="9" t="s">
        <v>81</v>
      </c>
      <c r="F15" s="10" t="s">
        <v>82</v>
      </c>
      <c r="G15" s="10" t="s">
        <v>83</v>
      </c>
      <c r="H15" s="10" t="s">
        <v>77</v>
      </c>
      <c r="I15" s="11"/>
      <c r="J15" s="11"/>
      <c r="K15" s="11"/>
      <c r="L15" s="11"/>
      <c r="M15" s="11"/>
    </row>
    <row r="16" customFormat="false" ht="42" hidden="false" customHeight="true" outlineLevel="0" collapsed="false">
      <c r="A16" s="14" t="s">
        <v>84</v>
      </c>
      <c r="B16" s="14" t="s">
        <v>85</v>
      </c>
      <c r="C16" s="8" t="s">
        <v>86</v>
      </c>
      <c r="D16" s="9" t="s">
        <v>87</v>
      </c>
      <c r="E16" s="9" t="s">
        <v>88</v>
      </c>
      <c r="F16" s="10" t="s">
        <v>89</v>
      </c>
      <c r="G16" s="10" t="s">
        <v>90</v>
      </c>
      <c r="H16" s="10" t="s">
        <v>91</v>
      </c>
      <c r="I16" s="11"/>
      <c r="J16" s="11"/>
      <c r="K16" s="11"/>
      <c r="L16" s="11"/>
      <c r="M16" s="11"/>
    </row>
    <row r="17" customFormat="false" ht="42" hidden="false" customHeight="true" outlineLevel="0" collapsed="false">
      <c r="A17" s="14" t="s">
        <v>92</v>
      </c>
      <c r="B17" s="14" t="s">
        <v>85</v>
      </c>
      <c r="C17" s="8" t="s">
        <v>93</v>
      </c>
      <c r="D17" s="9" t="s">
        <v>94</v>
      </c>
      <c r="E17" s="10" t="s">
        <v>95</v>
      </c>
      <c r="F17" s="10" t="s">
        <v>96</v>
      </c>
      <c r="G17" s="10" t="s">
        <v>97</v>
      </c>
      <c r="H17" s="10" t="s">
        <v>91</v>
      </c>
      <c r="I17" s="11"/>
      <c r="J17" s="11"/>
      <c r="K17" s="11"/>
      <c r="L17" s="11"/>
      <c r="M17" s="11"/>
    </row>
    <row r="18" customFormat="false" ht="42" hidden="false" customHeight="true" outlineLevel="0" collapsed="false">
      <c r="A18" s="14" t="s">
        <v>98</v>
      </c>
      <c r="B18" s="14" t="s">
        <v>85</v>
      </c>
      <c r="C18" s="8" t="s">
        <v>99</v>
      </c>
      <c r="D18" s="9" t="s">
        <v>100</v>
      </c>
      <c r="E18" s="9" t="s">
        <v>93</v>
      </c>
      <c r="F18" s="10" t="s">
        <v>101</v>
      </c>
      <c r="G18" s="9" t="s">
        <v>102</v>
      </c>
      <c r="H18" s="10" t="s">
        <v>91</v>
      </c>
      <c r="I18" s="11"/>
      <c r="J18" s="11"/>
      <c r="K18" s="11"/>
      <c r="L18" s="11"/>
      <c r="M18" s="11"/>
    </row>
    <row r="19" customFormat="false" ht="42" hidden="false" customHeight="true" outlineLevel="0" collapsed="false">
      <c r="A19" s="15" t="s">
        <v>103</v>
      </c>
      <c r="B19" s="15" t="s">
        <v>104</v>
      </c>
      <c r="C19" s="8" t="s">
        <v>105</v>
      </c>
      <c r="D19" s="9" t="s">
        <v>106</v>
      </c>
      <c r="E19" s="9" t="s">
        <v>107</v>
      </c>
      <c r="F19" s="10" t="s">
        <v>108</v>
      </c>
      <c r="G19" s="10" t="s">
        <v>109</v>
      </c>
      <c r="H19" s="10" t="s">
        <v>110</v>
      </c>
      <c r="I19" s="11"/>
      <c r="J19" s="11"/>
      <c r="K19" s="11"/>
      <c r="L19" s="11"/>
      <c r="M19" s="11"/>
    </row>
    <row r="20" customFormat="false" ht="42" hidden="false" customHeight="true" outlineLevel="0" collapsed="false">
      <c r="A20" s="15" t="s">
        <v>111</v>
      </c>
      <c r="B20" s="15" t="s">
        <v>104</v>
      </c>
      <c r="C20" s="8" t="s">
        <v>112</v>
      </c>
      <c r="D20" s="9" t="s">
        <v>113</v>
      </c>
      <c r="E20" s="9" t="s">
        <v>114</v>
      </c>
      <c r="F20" s="10" t="s">
        <v>115</v>
      </c>
      <c r="G20" s="10" t="s">
        <v>116</v>
      </c>
      <c r="H20" s="10" t="s">
        <v>110</v>
      </c>
      <c r="I20" s="11"/>
      <c r="J20" s="11"/>
      <c r="K20" s="11"/>
      <c r="L20" s="11"/>
      <c r="M20" s="11"/>
    </row>
    <row r="21" customFormat="false" ht="42" hidden="false" customHeight="true" outlineLevel="0" collapsed="false">
      <c r="A21" s="15" t="s">
        <v>117</v>
      </c>
      <c r="B21" s="15" t="s">
        <v>104</v>
      </c>
      <c r="C21" s="8" t="s">
        <v>118</v>
      </c>
      <c r="D21" s="9" t="s">
        <v>119</v>
      </c>
      <c r="E21" s="9" t="s">
        <v>120</v>
      </c>
      <c r="F21" s="10" t="s">
        <v>121</v>
      </c>
      <c r="G21" s="10" t="s">
        <v>116</v>
      </c>
      <c r="H21" s="10" t="s">
        <v>110</v>
      </c>
      <c r="I21" s="11"/>
      <c r="J21" s="11"/>
      <c r="K21" s="11"/>
      <c r="L21" s="11"/>
      <c r="M21" s="11"/>
    </row>
    <row r="22" customFormat="false" ht="42" hidden="false" customHeight="true" outlineLevel="0" collapsed="false">
      <c r="A22" s="15" t="s">
        <v>122</v>
      </c>
      <c r="B22" s="15" t="s">
        <v>104</v>
      </c>
      <c r="C22" s="8" t="s">
        <v>123</v>
      </c>
      <c r="D22" s="9" t="s">
        <v>124</v>
      </c>
      <c r="E22" s="9" t="s">
        <v>125</v>
      </c>
      <c r="F22" s="10" t="s">
        <v>126</v>
      </c>
      <c r="G22" s="10" t="s">
        <v>116</v>
      </c>
      <c r="H22" s="10" t="s">
        <v>110</v>
      </c>
      <c r="I22" s="11"/>
      <c r="J22" s="11"/>
      <c r="K22" s="11"/>
      <c r="L22" s="11"/>
      <c r="M22" s="11"/>
    </row>
    <row r="23" customFormat="false" ht="42" hidden="false" customHeight="true" outlineLevel="0" collapsed="false">
      <c r="A23" s="15" t="s">
        <v>127</v>
      </c>
      <c r="B23" s="15" t="s">
        <v>104</v>
      </c>
      <c r="C23" s="8" t="s">
        <v>128</v>
      </c>
      <c r="D23" s="9" t="s">
        <v>129</v>
      </c>
      <c r="E23" s="9" t="s">
        <v>130</v>
      </c>
      <c r="F23" s="10" t="s">
        <v>131</v>
      </c>
      <c r="G23" s="10" t="s">
        <v>116</v>
      </c>
      <c r="H23" s="10" t="s">
        <v>110</v>
      </c>
      <c r="I23" s="11"/>
      <c r="J23" s="11"/>
      <c r="K23" s="11"/>
      <c r="L23" s="11"/>
      <c r="M23" s="11"/>
    </row>
    <row r="25" customFormat="false" ht="23.1" hidden="false" customHeight="false" outlineLevel="0" collapsed="false">
      <c r="A25" s="16" t="s">
        <v>132</v>
      </c>
      <c r="B25" s="17"/>
      <c r="C25" s="17"/>
      <c r="D25" s="17"/>
      <c r="E25" s="16" t="s">
        <v>15</v>
      </c>
      <c r="F25" s="11"/>
    </row>
    <row r="26" customFormat="false" ht="20.85" hidden="false" customHeight="false" outlineLevel="0" collapsed="false">
      <c r="A26" s="16" t="s">
        <v>133</v>
      </c>
      <c r="B26" s="17"/>
      <c r="C26" s="17"/>
      <c r="D26" s="17"/>
      <c r="E26" s="16" t="s">
        <v>15</v>
      </c>
      <c r="F26" s="11"/>
    </row>
  </sheetData>
  <autoFilter ref="A6:M23"/>
  <mergeCells count="6">
    <mergeCell ref="A1:M1"/>
    <mergeCell ref="A2:M2"/>
    <mergeCell ref="A3:M3"/>
    <mergeCell ref="A4:M4"/>
    <mergeCell ref="B25:D25"/>
    <mergeCell ref="B26:D26"/>
  </mergeCells>
  <dataValidations count="1">
    <dataValidation allowBlank="true" error="เลือกจากรายการที่มีให้เท่านั้น" errorStyle="stop" operator="between" prompt="เลือกผลตัดสิน (ชุดเดียวกับปุ่มบนจอ /products แท็บ BOM ซ้ำ)" showDropDown="false" showErrorMessage="false" showInputMessage="false" sqref="I8:I23" type="list">
      <formula1>"แก้ BOM แล้ว,ถูกทั้ง 2 ใบ (ปล่อยไว้),พักไว้ก่อน,ต้องถามคนอื่น"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52"/>
  </cols>
  <sheetData>
    <row r="1" customFormat="false" ht="16.15" hidden="false" customHeight="false" outlineLevel="0" collapsed="false">
      <c r="A1" s="18" t="s">
        <v>134</v>
      </c>
    </row>
    <row r="2" customFormat="false" ht="21.6" hidden="false" customHeight="false" outlineLevel="0" collapsed="false">
      <c r="A2" s="19" t="s">
        <v>135</v>
      </c>
    </row>
    <row r="4" customFormat="false" ht="15" hidden="false" customHeight="false" outlineLevel="0" collapsed="false">
      <c r="A4" s="20" t="s">
        <v>136</v>
      </c>
      <c r="B4" s="20" t="n">
        <f aca="false">COUNTA('ใบงาน PE'!$C$8:$C$23)</f>
        <v>16</v>
      </c>
      <c r="C4" s="19" t="s">
        <v>137</v>
      </c>
    </row>
    <row r="5" customFormat="false" ht="15" hidden="false" customHeight="false" outlineLevel="0" collapsed="false">
      <c r="A5" s="21" t="s">
        <v>138</v>
      </c>
      <c r="B5" s="20" t="n">
        <f aca="false">COUNTBLANK('ใบงาน PE'!$I$8:$I$23)</f>
        <v>16</v>
      </c>
      <c r="C5" s="19" t="s">
        <v>139</v>
      </c>
    </row>
    <row r="6" customFormat="false" ht="15" hidden="false" customHeight="false" outlineLevel="0" collapsed="false">
      <c r="A6" s="21" t="s">
        <v>140</v>
      </c>
      <c r="B6" s="20" t="n">
        <f aca="false">COUNTIF('ใบงาน PE'!$I$8:$I$23,"แก้ BOM แล้ว")</f>
        <v>0</v>
      </c>
      <c r="C6" s="19" t="s">
        <v>141</v>
      </c>
    </row>
    <row r="7" customFormat="false" ht="15" hidden="false" customHeight="false" outlineLevel="0" collapsed="false">
      <c r="A7" s="21" t="s">
        <v>142</v>
      </c>
      <c r="B7" s="20" t="n">
        <f aca="false">COUNTIF('ใบงาน PE'!$I$8:$I$23,"ถูกทั้ง 2 ใบ (ปล่อยไว้)")</f>
        <v>0</v>
      </c>
      <c r="C7" s="19" t="s">
        <v>143</v>
      </c>
    </row>
    <row r="8" customFormat="false" ht="15" hidden="false" customHeight="false" outlineLevel="0" collapsed="false">
      <c r="A8" s="21" t="s">
        <v>144</v>
      </c>
      <c r="B8" s="20" t="n">
        <f aca="false">COUNTIF('ใบงาน PE'!$I$8:$I$23,"พักไว้ก่อน")</f>
        <v>0</v>
      </c>
      <c r="C8" s="19" t="s">
        <v>145</v>
      </c>
    </row>
    <row r="9" customFormat="false" ht="15" hidden="false" customHeight="false" outlineLevel="0" collapsed="false">
      <c r="A9" s="21" t="s">
        <v>146</v>
      </c>
      <c r="B9" s="20" t="n">
        <f aca="false">COUNTIF('ใบงาน PE'!$I$8:$I$23,"ต้องถามคนอื่น")</f>
        <v>0</v>
      </c>
      <c r="C9" s="19" t="s">
        <v>147</v>
      </c>
    </row>
    <row r="12" customFormat="false" ht="15" hidden="false" customHeight="false" outlineLevel="0" collapsed="false">
      <c r="A12" s="22" t="s">
        <v>148</v>
      </c>
    </row>
    <row r="13" customFormat="false" ht="15" hidden="false" customHeight="false" outlineLevel="0" collapsed="false">
      <c r="A13" s="23" t="s">
        <v>149</v>
      </c>
      <c r="B13" s="23" t="n">
        <f aca="false">COUNTIF('ใบงาน PE'!$B$8:$B$23,"A")</f>
        <v>3</v>
      </c>
      <c r="C13" s="19" t="s">
        <v>150</v>
      </c>
    </row>
    <row r="14" customFormat="false" ht="15" hidden="false" customHeight="false" outlineLevel="0" collapsed="false">
      <c r="A14" s="23" t="s">
        <v>151</v>
      </c>
      <c r="B14" s="23" t="n">
        <f aca="false">COUNTIF('ใบงาน PE'!$B$8:$B$23,"B")</f>
        <v>3</v>
      </c>
      <c r="C14" s="19" t="s">
        <v>152</v>
      </c>
    </row>
    <row r="15" customFormat="false" ht="15" hidden="false" customHeight="false" outlineLevel="0" collapsed="false">
      <c r="A15" s="23" t="s">
        <v>153</v>
      </c>
      <c r="B15" s="23" t="n">
        <f aca="false">COUNTIF('ใบงาน PE'!$B$8:$B$23,"C")</f>
        <v>2</v>
      </c>
      <c r="C15" s="19" t="s">
        <v>154</v>
      </c>
    </row>
    <row r="16" customFormat="false" ht="15" hidden="false" customHeight="false" outlineLevel="0" collapsed="false">
      <c r="A16" s="23" t="s">
        <v>155</v>
      </c>
      <c r="B16" s="23" t="n">
        <f aca="false">COUNTIF('ใบงาน PE'!$B$8:$B$23,"D")</f>
        <v>3</v>
      </c>
      <c r="C16" s="19" t="s">
        <v>156</v>
      </c>
    </row>
    <row r="17" customFormat="false" ht="15" hidden="false" customHeight="false" outlineLevel="0" collapsed="false">
      <c r="A17" s="23" t="s">
        <v>157</v>
      </c>
      <c r="B17" s="23" t="n">
        <f aca="false">COUNTIF('ใบงาน PE'!$B$8:$B$23,"E")</f>
        <v>5</v>
      </c>
      <c r="C17" s="19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86"/>
  </cols>
  <sheetData>
    <row r="1" customFormat="false" ht="26.85" hidden="false" customHeight="false" outlineLevel="0" collapsed="false">
      <c r="A1" s="18" t="s">
        <v>159</v>
      </c>
    </row>
    <row r="2" customFormat="false" ht="15" hidden="false" customHeight="false" outlineLevel="0" collapsed="false">
      <c r="A2" s="19" t="s">
        <v>160</v>
      </c>
    </row>
    <row r="4" customFormat="false" ht="15" hidden="false" customHeight="false" outlineLevel="0" collapsed="false">
      <c r="A4" s="24" t="s">
        <v>161</v>
      </c>
      <c r="B4" s="24" t="s">
        <v>162</v>
      </c>
      <c r="C4" s="24" t="s">
        <v>163</v>
      </c>
    </row>
    <row r="5" customFormat="false" ht="55.5" hidden="false" customHeight="true" outlineLevel="0" collapsed="false">
      <c r="A5" s="20" t="s">
        <v>164</v>
      </c>
      <c r="B5" s="23" t="s">
        <v>165</v>
      </c>
      <c r="C5" s="21" t="s">
        <v>166</v>
      </c>
    </row>
    <row r="6" customFormat="false" ht="55.5" hidden="false" customHeight="true" outlineLevel="0" collapsed="false">
      <c r="A6" s="20" t="s">
        <v>167</v>
      </c>
      <c r="B6" s="23" t="s">
        <v>168</v>
      </c>
      <c r="C6" s="21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2026-10-20T04:13:44Z</dcterms:created>
  <dc:creator>openpyxl</dc:creator>
  <dc:description/>
  <dc:language>en-US</dc:language>
  <cp:lastModifiedBy/>
  <dcterms:modified xsi:type="dcterms:W3CDTF">2026-10-20T04:13:44Z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